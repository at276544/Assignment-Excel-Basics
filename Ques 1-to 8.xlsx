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 activeTab="7"/>
  </bookViews>
  <sheets>
    <sheet name="Que-1 to 3" sheetId="1" r:id="rId1"/>
    <sheet name="Sheet1" sheetId="2" state="hidden" r:id="rId2"/>
    <sheet name="Sheet1 (1)" sheetId="3" state="hidden" r:id="rId3"/>
    <sheet name="Sheet2" sheetId="4" state="hidden" r:id="rId4"/>
    <sheet name="Sheet6" sheetId="5" state="hidden" r:id="rId5"/>
    <sheet name="Sheet7" sheetId="6" state="hidden" r:id="rId6"/>
    <sheet name="Sheet8" sheetId="7" state="hidden" r:id="rId7"/>
    <sheet name="ques 4,5,6,7,8" sheetId="8" r:id="rId8"/>
    <sheet name="Sheet3" sheetId="9" state="hidden" r:id="rId9"/>
    <sheet name="Sheet4" sheetId="10" state="hidden" r:id="rId10"/>
    <sheet name="Sheet5" sheetId="11" state="hidden" r:id="rId11"/>
  </sheets>
  <calcPr calcId="145621"/>
  <pivotCaches>
    <pivotCache cacheId="6" r:id="rId12"/>
    <pivotCache cacheId="8" r:id="rId13"/>
    <pivotCache cacheId="10" r:id="rId14"/>
    <pivotCache cacheId="13" r:id="rId15"/>
  </pivotCaches>
  <extLst>
    <ext uri="GoogleSheetsCustomDataVersion2">
      <go:sheetsCustomData xmlns:go="http://customooxmlschemas.google.com/" r:id="rId19" roundtripDataChecksum="tgKEFF/WXm4aSd4A0KnyWgCsbpDnxrKHoJlUUgMBEBA="/>
    </ext>
  </extLst>
</workbook>
</file>

<file path=xl/calcChain.xml><?xml version="1.0" encoding="utf-8"?>
<calcChain xmlns="http://schemas.openxmlformats.org/spreadsheetml/2006/main">
  <c r="Q44" i="10" l="1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L20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L21" i="8" s="1"/>
  <c r="L7" i="8"/>
  <c r="H7" i="8"/>
  <c r="H6" i="8"/>
  <c r="H5" i="8"/>
  <c r="H4" i="8"/>
  <c r="L19" i="8" s="1"/>
  <c r="L3" i="8"/>
  <c r="H3" i="8"/>
  <c r="L18" i="8" s="1"/>
  <c r="H2" i="8"/>
  <c r="L17" i="8" s="1"/>
  <c r="F71" i="3"/>
  <c r="F60" i="3"/>
  <c r="Q36" i="3"/>
  <c r="P36" i="3"/>
  <c r="N36" i="3"/>
  <c r="O36" i="3" s="1"/>
  <c r="Q35" i="3"/>
  <c r="N35" i="3"/>
  <c r="P35" i="3" s="1"/>
  <c r="Q19" i="3"/>
  <c r="P19" i="3"/>
  <c r="P18" i="3"/>
  <c r="Q18" i="3" s="1"/>
  <c r="N9" i="3"/>
  <c r="N8" i="3"/>
  <c r="E71" i="1"/>
  <c r="E60" i="1"/>
  <c r="O36" i="1"/>
  <c r="M36" i="1"/>
  <c r="P36" i="1" s="1"/>
  <c r="P35" i="1"/>
  <c r="O35" i="1"/>
  <c r="N35" i="1"/>
  <c r="M35" i="1"/>
  <c r="Q35" i="1" s="1"/>
  <c r="P19" i="1"/>
  <c r="O19" i="1"/>
  <c r="P18" i="1"/>
  <c r="O18" i="1"/>
  <c r="M9" i="1"/>
  <c r="M8" i="1"/>
  <c r="L22" i="8" l="1"/>
  <c r="N36" i="1"/>
  <c r="R35" i="3"/>
  <c r="K11" i="8"/>
  <c r="Q36" i="1"/>
  <c r="O35" i="3"/>
  <c r="R36" i="3"/>
</calcChain>
</file>

<file path=xl/sharedStrings.xml><?xml version="1.0" encoding="utf-8"?>
<sst xmlns="http://schemas.openxmlformats.org/spreadsheetml/2006/main" count="402" uniqueCount="181">
  <si>
    <t>Assignment : Excel Basics</t>
  </si>
  <si>
    <t xml:space="preserve">Q1 </t>
  </si>
  <si>
    <t>Explain the difference between Relative , Absolute and Mixed Cell Referencing.</t>
  </si>
  <si>
    <t>ans=</t>
  </si>
  <si>
    <t>1. Relative Cell Referencing</t>
  </si>
  <si>
    <r>
      <rPr>
        <b/>
        <sz val="11"/>
        <color theme="1"/>
        <rFont val="Calibri"/>
      </rPr>
      <t>Definition:</t>
    </r>
    <r>
      <rPr>
        <sz val="11"/>
        <color theme="1"/>
        <rFont val="Calibri"/>
      </rPr>
      <t xml:space="preserve"> Cell references that change automatically when a formula is copied to another cell.</t>
    </r>
  </si>
  <si>
    <r>
      <rPr>
        <b/>
        <sz val="11"/>
        <color theme="1"/>
        <rFont val="Calibri"/>
      </rPr>
      <t>Format:</t>
    </r>
    <r>
      <rPr>
        <sz val="11"/>
        <color theme="1"/>
        <rFont val="Calibri"/>
      </rPr>
      <t xml:space="preserve"> A1, B2, C5 (no dollar signs)</t>
    </r>
  </si>
  <si>
    <t>s.no</t>
  </si>
  <si>
    <t>s name</t>
  </si>
  <si>
    <t xml:space="preserve">math </t>
  </si>
  <si>
    <t>physics</t>
  </si>
  <si>
    <t>chemistry</t>
  </si>
  <si>
    <t>total p+c+m</t>
  </si>
  <si>
    <t>Rohit</t>
  </si>
  <si>
    <t>Example:</t>
  </si>
  <si>
    <t>Rahul</t>
  </si>
  <si>
    <r>
      <rPr>
        <sz val="11"/>
        <color theme="1"/>
        <rFont val="Calibri"/>
      </rPr>
      <t xml:space="preserve">If you enter in C1 → </t>
    </r>
    <r>
      <rPr>
        <sz val="10"/>
        <color theme="1"/>
        <rFont val="Arial Unicode MS"/>
      </rPr>
      <t>=A1 + B1</t>
    </r>
  </si>
  <si>
    <r>
      <rPr>
        <sz val="11"/>
        <color theme="1"/>
        <rFont val="Calibri"/>
      </rPr>
      <t xml:space="preserve">and copy it to C2, it becomes → </t>
    </r>
    <r>
      <rPr>
        <sz val="10"/>
        <color theme="1"/>
        <rFont val="Arial Unicode MS"/>
      </rPr>
      <t>=A2 + B2</t>
    </r>
  </si>
  <si>
    <r>
      <rPr>
        <sz val="11"/>
        <color theme="1"/>
        <rFont val="Calibri"/>
      </rPr>
      <t xml:space="preserve">📌 </t>
    </r>
    <r>
      <rPr>
        <b/>
        <sz val="11"/>
        <color theme="1"/>
        <rFont val="Calibri"/>
      </rPr>
      <t>Use when you want the formula to adjust to its new location.</t>
    </r>
  </si>
  <si>
    <t>2. Absolute Cell Referencing</t>
  </si>
  <si>
    <r>
      <rPr>
        <b/>
        <sz val="11"/>
        <color theme="1"/>
        <rFont val="Calibri"/>
      </rPr>
      <t>Definition:</t>
    </r>
    <r>
      <rPr>
        <sz val="11"/>
        <color theme="1"/>
        <rFont val="Calibri"/>
      </rPr>
      <t xml:space="preserve"> A fixed reference that does </t>
    </r>
    <r>
      <rPr>
        <b/>
        <sz val="11"/>
        <color theme="1"/>
        <rFont val="Calibri"/>
      </rPr>
      <t>not change</t>
    </r>
    <r>
      <rPr>
        <sz val="11"/>
        <color theme="1"/>
        <rFont val="Calibri"/>
      </rPr>
      <t xml:space="preserve"> when the formula is copied.</t>
    </r>
  </si>
  <si>
    <t>name</t>
  </si>
  <si>
    <t>total percent</t>
  </si>
  <si>
    <r>
      <rPr>
        <b/>
        <sz val="11"/>
        <color theme="1"/>
        <rFont val="Calibri"/>
      </rPr>
      <t>Format:</t>
    </r>
    <r>
      <rPr>
        <sz val="11"/>
        <color theme="1"/>
        <rFont val="Calibri"/>
      </rPr>
      <t xml:space="preserve"> </t>
    </r>
    <r>
      <rPr>
        <sz val="10"/>
        <color theme="1"/>
        <rFont val="Arial Unicode MS"/>
      </rPr>
      <t>$A$1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$B$2</t>
    </r>
    <r>
      <rPr>
        <sz val="11"/>
        <color theme="1"/>
        <rFont val="Calibri"/>
      </rPr>
      <t xml:space="preserve"> (both column and row are locked with </t>
    </r>
    <r>
      <rPr>
        <sz val="10"/>
        <color theme="1"/>
        <rFont val="Arial Unicode MS"/>
      </rPr>
      <t>$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</si>
  <si>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If C1 contains </t>
    </r>
    <r>
      <rPr>
        <sz val="10"/>
        <color theme="1"/>
        <rFont val="Arial Unicode MS"/>
      </rPr>
      <t>=A1 * $B$1</t>
    </r>
  </si>
  <si>
    <t>total no of marks</t>
  </si>
  <si>
    <r>
      <rPr>
        <sz val="11"/>
        <color theme="1"/>
        <rFont val="Calibri"/>
      </rPr>
      <t xml:space="preserve">and you copy it to C2, it stays → </t>
    </r>
    <r>
      <rPr>
        <sz val="10"/>
        <color theme="1"/>
        <rFont val="Arial Unicode MS"/>
      </rPr>
      <t>=A2 * $B$1</t>
    </r>
  </si>
  <si>
    <t>3. Mixed Cell Referencing</t>
  </si>
  <si>
    <r>
      <rPr>
        <b/>
        <sz val="11"/>
        <color theme="1"/>
        <rFont val="Calibri"/>
      </rPr>
      <t>Definition:</t>
    </r>
    <r>
      <rPr>
        <sz val="11"/>
        <color theme="1"/>
        <rFont val="Calibri"/>
      </rPr>
      <t xml:space="preserve"> A reference where </t>
    </r>
    <r>
      <rPr>
        <b/>
        <sz val="11"/>
        <color theme="1"/>
        <rFont val="Calibri"/>
      </rPr>
      <t>either the row or the column is fixed</t>
    </r>
    <r>
      <rPr>
        <sz val="11"/>
        <color theme="1"/>
        <rFont val="Calibri"/>
      </rPr>
      <t>, but not both.</t>
    </r>
  </si>
  <si>
    <t>Formats:</t>
  </si>
  <si>
    <r>
      <rPr>
        <sz val="10"/>
        <color theme="1"/>
        <rFont val="Arial Unicode MS"/>
      </rPr>
      <t>$A1</t>
    </r>
    <r>
      <rPr>
        <sz val="11"/>
        <color theme="1"/>
        <rFont val="Calibri"/>
      </rPr>
      <t xml:space="preserve"> → column A locked, row changes</t>
    </r>
  </si>
  <si>
    <t>%math</t>
  </si>
  <si>
    <t>% physics</t>
  </si>
  <si>
    <t>%chemistry</t>
  </si>
  <si>
    <r>
      <rPr>
        <sz val="10"/>
        <color theme="1"/>
        <rFont val="Arial Unicode MS"/>
      </rPr>
      <t>A$1</t>
    </r>
    <r>
      <rPr>
        <sz val="11"/>
        <color theme="1"/>
        <rFont val="Calibri"/>
      </rPr>
      <t xml:space="preserve"> → row 1 locked, column changes</t>
    </r>
  </si>
  <si>
    <r>
      <rPr>
        <sz val="11"/>
        <color theme="1"/>
        <rFont val="Calibri"/>
      </rPr>
      <t xml:space="preserve">If you use </t>
    </r>
    <r>
      <rPr>
        <sz val="10"/>
        <color theme="1"/>
        <rFont val="Arial Unicode MS"/>
      </rPr>
      <t>=$A1</t>
    </r>
    <r>
      <rPr>
        <sz val="11"/>
        <color theme="1"/>
        <rFont val="Calibri"/>
      </rPr>
      <t xml:space="preserve"> in a row and copy across columns, A stays the same but the row adjusts.</t>
    </r>
  </si>
  <si>
    <r>
      <rPr>
        <sz val="11"/>
        <color theme="1"/>
        <rFont val="Calibri"/>
      </rPr>
      <t xml:space="preserve">📌 </t>
    </r>
    <r>
      <rPr>
        <b/>
        <sz val="11"/>
        <color theme="1"/>
        <rFont val="Calibri"/>
      </rPr>
      <t>Use when copying formulas across rows or columns while keeping one part fixed.</t>
    </r>
  </si>
  <si>
    <t>In summary</t>
  </si>
  <si>
    <t>Reference Type</t>
  </si>
  <si>
    <t>Example</t>
  </si>
  <si>
    <t>Column Locked?</t>
  </si>
  <si>
    <t>Row Locked?</t>
  </si>
  <si>
    <t>Changes When Copied?</t>
  </si>
  <si>
    <t>Relative</t>
  </si>
  <si>
    <t>A1</t>
  </si>
  <si>
    <t>❌</t>
  </si>
  <si>
    <t>✔️ Yes</t>
  </si>
  <si>
    <t>Absolute</t>
  </si>
  <si>
    <t>$A$1</t>
  </si>
  <si>
    <t>✔️</t>
  </si>
  <si>
    <t>❌ No</t>
  </si>
  <si>
    <t>Mixed</t>
  </si>
  <si>
    <t>$A1 / A$1</t>
  </si>
  <si>
    <t>✔️ or ❌</t>
  </si>
  <si>
    <t>❌ or ✔️</t>
  </si>
  <si>
    <t>Partially</t>
  </si>
  <si>
    <t>Q2</t>
  </si>
  <si>
    <t>Write a formula to calculate the total sales of Car and Bicyle only only.</t>
  </si>
  <si>
    <t>ans:</t>
  </si>
  <si>
    <t>vehical</t>
  </si>
  <si>
    <t>price</t>
  </si>
  <si>
    <t>Car</t>
  </si>
  <si>
    <t>Bicycle</t>
  </si>
  <si>
    <t>Auto-Rickshaw</t>
  </si>
  <si>
    <t>total sales of car and bicycle only</t>
  </si>
  <si>
    <t>Use by sum function</t>
  </si>
  <si>
    <t>Q3</t>
  </si>
  <si>
    <t>Using the data below, write a formula to calculate the average sales of items priced above 100 but less than</t>
  </si>
  <si>
    <t>then 300</t>
  </si>
  <si>
    <t>item</t>
  </si>
  <si>
    <t>sales</t>
  </si>
  <si>
    <t>Item A</t>
  </si>
  <si>
    <t>Item B</t>
  </si>
  <si>
    <t>Item C</t>
  </si>
  <si>
    <t xml:space="preserve">The average sales of item prices </t>
  </si>
  <si>
    <t>above 100 but less then 300</t>
  </si>
  <si>
    <t>Use Formula by(= AVERAGEIFS)</t>
  </si>
  <si>
    <r>
      <rPr>
        <b/>
        <sz val="11"/>
        <color theme="1"/>
        <rFont val="Calibri"/>
      </rPr>
      <t>Definition:</t>
    </r>
    <r>
      <rPr>
        <sz val="11"/>
        <color theme="1"/>
        <rFont val="Calibri"/>
      </rPr>
      <t xml:space="preserve"> Cell references that change automatically when a formula is copied to another cell.</t>
    </r>
  </si>
  <si>
    <r>
      <rPr>
        <b/>
        <sz val="11"/>
        <color theme="1"/>
        <rFont val="Calibri"/>
      </rPr>
      <t>Format:</t>
    </r>
    <r>
      <rPr>
        <sz val="11"/>
        <color theme="1"/>
        <rFont val="Calibri"/>
      </rPr>
      <t xml:space="preserve"> A1, B2, C5 (no dollar signs)</t>
    </r>
  </si>
  <si>
    <r>
      <rPr>
        <sz val="11"/>
        <color theme="1"/>
        <rFont val="Calibri"/>
      </rPr>
      <t xml:space="preserve">If you enter in C1 → </t>
    </r>
    <r>
      <rPr>
        <sz val="10"/>
        <color theme="1"/>
        <rFont val="Arial Unicode MS"/>
      </rPr>
      <t>=A1 + B1</t>
    </r>
  </si>
  <si>
    <r>
      <rPr>
        <sz val="11"/>
        <color theme="1"/>
        <rFont val="Calibri"/>
      </rPr>
      <t xml:space="preserve">and copy it to C2, it becomes → </t>
    </r>
    <r>
      <rPr>
        <sz val="10"/>
        <color theme="1"/>
        <rFont val="Arial Unicode MS"/>
      </rPr>
      <t>=A2 + B2</t>
    </r>
  </si>
  <si>
    <r>
      <rPr>
        <sz val="11"/>
        <color theme="1"/>
        <rFont val="Calibri"/>
      </rPr>
      <t xml:space="preserve">📌 </t>
    </r>
    <r>
      <rPr>
        <b/>
        <sz val="11"/>
        <color theme="1"/>
        <rFont val="Calibri"/>
      </rPr>
      <t>Use when you want the formula to adjust to its new location.</t>
    </r>
  </si>
  <si>
    <r>
      <rPr>
        <b/>
        <sz val="11"/>
        <color theme="1"/>
        <rFont val="Calibri"/>
      </rPr>
      <t>Definition:</t>
    </r>
    <r>
      <rPr>
        <sz val="11"/>
        <color theme="1"/>
        <rFont val="Calibri"/>
      </rPr>
      <t xml:space="preserve"> A fixed reference that does </t>
    </r>
    <r>
      <rPr>
        <b/>
        <sz val="11"/>
        <color theme="1"/>
        <rFont val="Calibri"/>
      </rPr>
      <t>not change</t>
    </r>
    <r>
      <rPr>
        <sz val="11"/>
        <color theme="1"/>
        <rFont val="Calibri"/>
      </rPr>
      <t xml:space="preserve"> when the formula is copied.</t>
    </r>
  </si>
  <si>
    <r>
      <rPr>
        <b/>
        <sz val="11"/>
        <color theme="1"/>
        <rFont val="Calibri"/>
      </rPr>
      <t>Format:</t>
    </r>
    <r>
      <rPr>
        <sz val="11"/>
        <color theme="1"/>
        <rFont val="Calibri"/>
      </rPr>
      <t xml:space="preserve"> </t>
    </r>
    <r>
      <rPr>
        <sz val="10"/>
        <color theme="1"/>
        <rFont val="Arial Unicode MS"/>
      </rPr>
      <t>$A$1</t>
    </r>
    <r>
      <rPr>
        <sz val="11"/>
        <color theme="1"/>
        <rFont val="Calibri"/>
      </rPr>
      <t xml:space="preserve">, </t>
    </r>
    <r>
      <rPr>
        <sz val="10"/>
        <color theme="1"/>
        <rFont val="Arial Unicode MS"/>
      </rPr>
      <t>$B$2</t>
    </r>
    <r>
      <rPr>
        <sz val="11"/>
        <color theme="1"/>
        <rFont val="Calibri"/>
      </rPr>
      <t xml:space="preserve"> (both column and row are locked with </t>
    </r>
    <r>
      <rPr>
        <sz val="10"/>
        <color theme="1"/>
        <rFont val="Arial Unicode MS"/>
      </rPr>
      <t>$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</si>
  <si>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If C1 contains </t>
    </r>
    <r>
      <rPr>
        <sz val="10"/>
        <color theme="1"/>
        <rFont val="Arial Unicode MS"/>
      </rPr>
      <t>=A1 * $B$1</t>
    </r>
  </si>
  <si>
    <r>
      <rPr>
        <sz val="11"/>
        <color theme="1"/>
        <rFont val="Calibri"/>
      </rPr>
      <t xml:space="preserve">and you copy it to C2, it stays → </t>
    </r>
    <r>
      <rPr>
        <sz val="10"/>
        <color theme="1"/>
        <rFont val="Arial Unicode MS"/>
      </rPr>
      <t>=A2 * $B$1</t>
    </r>
  </si>
  <si>
    <r>
      <rPr>
        <b/>
        <sz val="11"/>
        <color theme="1"/>
        <rFont val="Calibri"/>
      </rPr>
      <t>Definition:</t>
    </r>
    <r>
      <rPr>
        <sz val="11"/>
        <color theme="1"/>
        <rFont val="Calibri"/>
      </rPr>
      <t xml:space="preserve"> A reference where </t>
    </r>
    <r>
      <rPr>
        <b/>
        <sz val="11"/>
        <color theme="1"/>
        <rFont val="Calibri"/>
      </rPr>
      <t>either the row or the column is fixed</t>
    </r>
    <r>
      <rPr>
        <sz val="11"/>
        <color theme="1"/>
        <rFont val="Calibri"/>
      </rPr>
      <t>, but not both.</t>
    </r>
  </si>
  <si>
    <r>
      <rPr>
        <sz val="10"/>
        <color theme="1"/>
        <rFont val="Arial Unicode MS"/>
      </rPr>
      <t>$A1</t>
    </r>
    <r>
      <rPr>
        <sz val="11"/>
        <color theme="1"/>
        <rFont val="Calibri"/>
      </rPr>
      <t xml:space="preserve"> → column A locked, row changes</t>
    </r>
  </si>
  <si>
    <r>
      <rPr>
        <sz val="10"/>
        <color theme="1"/>
        <rFont val="Arial Unicode MS"/>
      </rPr>
      <t>A$1</t>
    </r>
    <r>
      <rPr>
        <sz val="11"/>
        <color theme="1"/>
        <rFont val="Calibri"/>
      </rPr>
      <t xml:space="preserve"> → row 1 locked, column changes</t>
    </r>
  </si>
  <si>
    <r>
      <rPr>
        <sz val="11"/>
        <color theme="1"/>
        <rFont val="Calibri"/>
      </rPr>
      <t xml:space="preserve">If you use </t>
    </r>
    <r>
      <rPr>
        <sz val="10"/>
        <color theme="1"/>
        <rFont val="Arial Unicode MS"/>
      </rPr>
      <t>=$A1</t>
    </r>
    <r>
      <rPr>
        <sz val="11"/>
        <color theme="1"/>
        <rFont val="Calibri"/>
      </rPr>
      <t xml:space="preserve"> in a row and copy across columns, A stays the same but the row adjusts.</t>
    </r>
  </si>
  <si>
    <r>
      <rPr>
        <sz val="11"/>
        <color theme="1"/>
        <rFont val="Calibri"/>
      </rPr>
      <t xml:space="preserve">📌 </t>
    </r>
    <r>
      <rPr>
        <b/>
        <sz val="11"/>
        <color theme="1"/>
        <rFont val="Calibri"/>
      </rPr>
      <t>Use when copying formulas across rows or columns while keeping one part fixed.</t>
    </r>
  </si>
  <si>
    <t>Product</t>
  </si>
  <si>
    <t>Sum of Total Sales</t>
  </si>
  <si>
    <t>Eraser</t>
  </si>
  <si>
    <t>Marker</t>
  </si>
  <si>
    <t>Notebook</t>
  </si>
  <si>
    <t>Pen</t>
  </si>
  <si>
    <t>Pencil</t>
  </si>
  <si>
    <t>Grand Total</t>
  </si>
  <si>
    <t>OrderDate</t>
  </si>
  <si>
    <t>OrderID</t>
  </si>
  <si>
    <t>CustomerName</t>
  </si>
  <si>
    <t>Region</t>
  </si>
  <si>
    <t>Quantity</t>
  </si>
  <si>
    <t>UnitPrice</t>
  </si>
  <si>
    <t>Total Sales</t>
  </si>
  <si>
    <t>Amit Sharma</t>
  </si>
  <si>
    <t>North</t>
  </si>
  <si>
    <t>Que 4</t>
  </si>
  <si>
    <t>Count how many customer names are recorded</t>
  </si>
  <si>
    <t>Neha Verma</t>
  </si>
  <si>
    <t>South</t>
  </si>
  <si>
    <t>Ans :</t>
  </si>
  <si>
    <t>use the function</t>
  </si>
  <si>
    <t>(B2:B51)</t>
  </si>
  <si>
    <t>Rahul Singh</t>
  </si>
  <si>
    <t>East</t>
  </si>
  <si>
    <t>counta</t>
  </si>
  <si>
    <t>Pooja Mehta</t>
  </si>
  <si>
    <t>West</t>
  </si>
  <si>
    <t>Ankit Jain</t>
  </si>
  <si>
    <t>Que 5</t>
  </si>
  <si>
    <t>Calculate the Total Sales for each row using a formula.</t>
  </si>
  <si>
    <t>Sneha Patel</t>
  </si>
  <si>
    <t>Ans:</t>
  </si>
  <si>
    <t>total sales</t>
  </si>
  <si>
    <t>(E2:E51,F2:F51</t>
  </si>
  <si>
    <t>Vikas Gupta</t>
  </si>
  <si>
    <t>Use the Function sumproduct</t>
  </si>
  <si>
    <t>Meera Nair</t>
  </si>
  <si>
    <t>Anjali Rao</t>
  </si>
  <si>
    <t>Que 6</t>
  </si>
  <si>
    <t>Calculate the total sales of Notebooks in the North region only.</t>
  </si>
  <si>
    <t>Manoj Das</t>
  </si>
  <si>
    <t>use the function sumifs</t>
  </si>
  <si>
    <t>Ritika Sen</t>
  </si>
  <si>
    <t>(H2:H51,C2:C51,C2,D2:D51,D2)</t>
  </si>
  <si>
    <t>Karan Malhotra</t>
  </si>
  <si>
    <t>Aryan Joshi</t>
  </si>
  <si>
    <t>Que 7</t>
  </si>
  <si>
    <t>Create a column chart showing total sales by product</t>
  </si>
  <si>
    <t>Divya Kapoor</t>
  </si>
  <si>
    <t>Sahil Arora</t>
  </si>
  <si>
    <t>ans :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</si>
  <si>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</si>
  <si>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</si>
  <si>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</si>
  <si>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</si>
  <si>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</si>
  <si>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</si>
  <si>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</si>
  <si>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</si>
  <si>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</si>
  <si>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</si>
  <si>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</si>
  <si>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</si>
  <si>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</si>
  <si>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</si>
  <si>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</si>
  <si>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</si>
  <si>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</si>
  <si>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</si>
  <si>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</si>
  <si>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</si>
  <si>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Qus 8</t>
  </si>
  <si>
    <t>Insert a line chart showing daily sales trend.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</si>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</sst>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rial"/>
      <scheme val="minor"/>
    </font>
    <font>
      <b/>
      <sz val="22"/>
      <color theme="1"/>
      <name val="Arial"/>
      <scheme val="minor"/>
    </font>
    <font>
      <sz val="11"/>
      <name val="Arial"/>
    </font>
    <font>
      <b/>
      <sz val="12"/>
      <color theme="1"/>
      <name val="Calibri"/>
    </font>
    <font>
      <sz val="11"/>
      <color theme="1"/>
      <name val="Arial"/>
      <scheme val="minor"/>
    </font>
    <font>
      <b/>
      <sz val="11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sz val="10"/>
      <color theme="1"/>
      <name val="Arimo"/>
    </font>
    <font>
      <b/>
      <sz val="13"/>
      <color theme="1"/>
      <name val="Calibri"/>
    </font>
    <font>
      <sz val="15"/>
      <color theme="1"/>
      <name val="Arial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vertical="center"/>
    </xf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9" fontId="7" fillId="0" borderId="0" xfId="0" applyNumberFormat="1" applyFont="1"/>
    <xf numFmtId="0" fontId="5" fillId="0" borderId="4" xfId="0" applyFont="1" applyBorder="1" applyAlignment="1">
      <alignment horizontal="left" vertical="center"/>
    </xf>
    <xf numFmtId="9" fontId="7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7" fillId="0" borderId="4" xfId="0" applyFont="1" applyBorder="1"/>
    <xf numFmtId="0" fontId="8" fillId="0" borderId="0" xfId="0" applyFon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4" xfId="0" applyFont="1" applyBorder="1"/>
    <xf numFmtId="14" fontId="7" fillId="0" borderId="0" xfId="0" applyNumberFormat="1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14" fontId="7" fillId="0" borderId="5" xfId="0" applyNumberFormat="1" applyFont="1" applyBorder="1" applyAlignment="1">
      <alignment horizontal="right" wrapText="1"/>
    </xf>
    <xf numFmtId="9" fontId="5" fillId="0" borderId="0" xfId="0" applyNumberFormat="1" applyFont="1"/>
    <xf numFmtId="0" fontId="7" fillId="0" borderId="0" xfId="0" applyFont="1"/>
    <xf numFmtId="0" fontId="10" fillId="0" borderId="0" xfId="0" applyFont="1"/>
    <xf numFmtId="14" fontId="7" fillId="0" borderId="4" xfId="0" applyNumberFormat="1" applyFont="1" applyBorder="1"/>
    <xf numFmtId="0" fontId="0" fillId="0" borderId="7" xfId="0" pivotButton="1" applyFont="1" applyBorder="1" applyAlignment="1"/>
    <xf numFmtId="0" fontId="0" fillId="0" borderId="8" xfId="0" applyFont="1" applyBorder="1" applyAlignment="1"/>
    <xf numFmtId="14" fontId="0" fillId="0" borderId="7" xfId="0" applyNumberFormat="1" applyFont="1" applyBorder="1" applyAlignment="1"/>
    <xf numFmtId="0" fontId="0" fillId="0" borderId="8" xfId="0" applyNumberFormat="1" applyFont="1" applyBorder="1" applyAlignment="1"/>
    <xf numFmtId="14" fontId="0" fillId="0" borderId="9" xfId="0" applyNumberFormat="1" applyFont="1" applyBorder="1" applyAlignment="1"/>
    <xf numFmtId="0" fontId="0" fillId="0" borderId="10" xfId="0" applyNumberFormat="1" applyFont="1" applyBorder="1" applyAlignment="1"/>
    <xf numFmtId="14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0" fillId="0" borderId="7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9" xfId="0" applyFont="1" applyBorder="1" applyAlignment="1"/>
    <xf numFmtId="0" fontId="0" fillId="0" borderId="1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Sum of total sales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Sheet2!$A$4:$A$9</c:f>
              <c:strCache>
                <c:ptCount val="6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  <c:pt idx="5">
                  <c:v>Grand Total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6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  <c:pt idx="5">
                  <c:v>16543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000256"/>
        <c:axId val="140002432"/>
      </c:barChart>
      <c:catAx>
        <c:axId val="14000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002432"/>
        <c:crosses val="autoZero"/>
        <c:auto val="1"/>
        <c:lblAlgn val="ctr"/>
        <c:lblOffset val="100"/>
        <c:noMultiLvlLbl val="1"/>
      </c:catAx>
      <c:valAx>
        <c:axId val="140002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0002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sz="1400" b="1" i="0">
                <a:solidFill>
                  <a:srgbClr val="757575"/>
                </a:solidFill>
                <a:latin typeface="+mn-lt"/>
              </a:rPr>
              <a:t>Line Chart showing daily sales trend</a:t>
            </a:r>
          </a:p>
        </c:rich>
      </c:tx>
      <c:layout>
        <c:manualLayout>
          <c:xMode val="edge"/>
          <c:yMode val="edge"/>
          <c:x val="0.22322368421052599"/>
          <c:y val="0.106944443451034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txPr>
              <a:bodyPr/>
              <a:lstStyle/>
              <a:p>
                <a:pPr lvl="0">
                  <a:defRPr sz="10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Sheet8!$A$4:$A$54</c:f>
              <c:strCache>
                <c:ptCount val="51"/>
                <c:pt idx="0">
                  <c:v>05-01-24</c:v>
                </c:pt>
                <c:pt idx="1">
                  <c:v>06-01-24</c:v>
                </c:pt>
                <c:pt idx="2">
                  <c:v>07-01-24</c:v>
                </c:pt>
                <c:pt idx="3">
                  <c:v>08-01-24</c:v>
                </c:pt>
                <c:pt idx="4">
                  <c:v>10-01-24</c:v>
                </c:pt>
                <c:pt idx="5">
                  <c:v>11-01-24</c:v>
                </c:pt>
                <c:pt idx="6">
                  <c:v>13-01-24</c:v>
                </c:pt>
                <c:pt idx="7">
                  <c:v>15-01-24</c:v>
                </c:pt>
                <c:pt idx="8">
                  <c:v>17-01-24</c:v>
                </c:pt>
                <c:pt idx="9">
                  <c:v>18-01-24</c:v>
                </c:pt>
                <c:pt idx="10">
                  <c:v>19-01-24</c:v>
                </c:pt>
                <c:pt idx="11">
                  <c:v>20-01-24</c:v>
                </c:pt>
                <c:pt idx="12">
                  <c:v>22-01-24</c:v>
                </c:pt>
                <c:pt idx="13">
                  <c:v>23-01-24</c:v>
                </c:pt>
                <c:pt idx="14">
                  <c:v>24-01-24</c:v>
                </c:pt>
                <c:pt idx="15">
                  <c:v>26-01-24</c:v>
                </c:pt>
                <c:pt idx="16">
                  <c:v>28-01-24</c:v>
                </c:pt>
                <c:pt idx="17">
                  <c:v>29-01-24</c:v>
                </c:pt>
                <c:pt idx="18">
                  <c:v>30-01-24</c:v>
                </c:pt>
                <c:pt idx="19">
                  <c:v>01-02-24</c:v>
                </c:pt>
                <c:pt idx="20">
                  <c:v>02-02-24</c:v>
                </c:pt>
                <c:pt idx="21">
                  <c:v>03-02-24</c:v>
                </c:pt>
                <c:pt idx="22">
                  <c:v>04-02-24</c:v>
                </c:pt>
                <c:pt idx="23">
                  <c:v>06-02-24</c:v>
                </c:pt>
                <c:pt idx="24">
                  <c:v>07-02-24</c:v>
                </c:pt>
                <c:pt idx="25">
                  <c:v>08-02-24</c:v>
                </c:pt>
                <c:pt idx="26">
                  <c:v>09-02-24</c:v>
                </c:pt>
                <c:pt idx="27">
                  <c:v>10-02-24</c:v>
                </c:pt>
                <c:pt idx="28">
                  <c:v>12-02-24</c:v>
                </c:pt>
                <c:pt idx="29">
                  <c:v>13-02-24</c:v>
                </c:pt>
                <c:pt idx="30">
                  <c:v>14-02-24</c:v>
                </c:pt>
                <c:pt idx="31">
                  <c:v>16-02-24</c:v>
                </c:pt>
                <c:pt idx="32">
                  <c:v>17-02-24</c:v>
                </c:pt>
                <c:pt idx="33">
                  <c:v>18-02-24</c:v>
                </c:pt>
                <c:pt idx="34">
                  <c:v>19-02-24</c:v>
                </c:pt>
                <c:pt idx="35">
                  <c:v>21-02-24</c:v>
                </c:pt>
                <c:pt idx="36">
                  <c:v>22-02-24</c:v>
                </c:pt>
                <c:pt idx="37">
                  <c:v>23-02-24</c:v>
                </c:pt>
                <c:pt idx="38">
                  <c:v>25-02-24</c:v>
                </c:pt>
                <c:pt idx="39">
                  <c:v>26-02-24</c:v>
                </c:pt>
                <c:pt idx="40">
                  <c:v>27-02-24</c:v>
                </c:pt>
                <c:pt idx="41">
                  <c:v>28-02-24</c:v>
                </c:pt>
                <c:pt idx="42">
                  <c:v>01-03-24</c:v>
                </c:pt>
                <c:pt idx="43">
                  <c:v>02-03-24</c:v>
                </c:pt>
                <c:pt idx="44">
                  <c:v>03-03-24</c:v>
                </c:pt>
                <c:pt idx="45">
                  <c:v>04-03-24</c:v>
                </c:pt>
                <c:pt idx="46">
                  <c:v>05-03-24</c:v>
                </c:pt>
                <c:pt idx="47">
                  <c:v>06-03-24</c:v>
                </c:pt>
                <c:pt idx="48">
                  <c:v>07-03-24</c:v>
                </c:pt>
                <c:pt idx="49">
                  <c:v>08-03-24</c:v>
                </c:pt>
                <c:pt idx="50">
                  <c:v>Grand Total</c:v>
                </c:pt>
              </c:strCache>
            </c:strRef>
          </c:cat>
          <c:val>
            <c:numRef>
              <c:f>Sheet8!$B$4:$B$54</c:f>
              <c:numCache>
                <c:formatCode>General</c:formatCode>
                <c:ptCount val="51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  <c:pt idx="50">
                  <c:v>16543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84832"/>
        <c:axId val="200987008"/>
      </c:lineChart>
      <c:catAx>
        <c:axId val="20098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987008"/>
        <c:crosses val="autoZero"/>
        <c:auto val="1"/>
        <c:lblAlgn val="ctr"/>
        <c:lblOffset val="100"/>
        <c:noMultiLvlLbl val="1"/>
      </c:catAx>
      <c:valAx>
        <c:axId val="200987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9848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 of total sales by Product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Sheet2!$A$4:$A$9</c:f>
              <c:strCache>
                <c:ptCount val="6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  <c:pt idx="5">
                  <c:v>Grand Total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6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  <c:pt idx="5">
                  <c:v>16543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53696"/>
        <c:axId val="201055616"/>
      </c:barChart>
      <c:catAx>
        <c:axId val="20105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055616"/>
        <c:crosses val="autoZero"/>
        <c:auto val="1"/>
        <c:lblAlgn val="ctr"/>
        <c:lblOffset val="100"/>
        <c:noMultiLvlLbl val="1"/>
      </c:catAx>
      <c:valAx>
        <c:axId val="201055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0536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LIne</a:t>
            </a:r>
            <a:r>
              <a:rPr lang="en-US" sz="1400" baseline="0"/>
              <a:t> chart showing daily sales trend</a:t>
            </a:r>
            <a:endParaRPr lang="en-US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0501093613298333E-2"/>
          <c:y val="0.21157407407407408"/>
          <c:w val="0.61084536307961501"/>
          <c:h val="0.58593977836103817"/>
        </c:manualLayout>
      </c:layout>
      <c:lineChart>
        <c:grouping val="standard"/>
        <c:varyColors val="0"/>
        <c:ser>
          <c:idx val="0"/>
          <c:order val="0"/>
          <c:tx>
            <c:strRef>
              <c:f>'ques 4,5,6,7,8'!$H$1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numRef>
              <c:f>'ques 4,5,6,7,8'!$G$2:$G$51</c:f>
              <c:numCache>
                <c:formatCode>dd-mm-yy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 4,5,6,7,8'!$H$2:$H$51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05408"/>
        <c:axId val="201106944"/>
      </c:lineChart>
      <c:dateAx>
        <c:axId val="201105408"/>
        <c:scaling>
          <c:orientation val="minMax"/>
        </c:scaling>
        <c:delete val="0"/>
        <c:axPos val="b"/>
        <c:numFmt formatCode="dd-mm-yy" sourceLinked="1"/>
        <c:majorTickMark val="out"/>
        <c:minorTickMark val="none"/>
        <c:tickLblPos val="nextTo"/>
        <c:crossAx val="201106944"/>
        <c:crosses val="autoZero"/>
        <c:auto val="1"/>
        <c:lblOffset val="100"/>
        <c:baseTimeUnit val="days"/>
      </c:dateAx>
      <c:valAx>
        <c:axId val="20110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105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6</xdr:row>
      <xdr:rowOff>114300</xdr:rowOff>
    </xdr:from>
    <xdr:ext cx="4791075" cy="2295525"/>
    <xdr:graphicFrame macro="">
      <xdr:nvGraphicFramePr>
        <xdr:cNvPr id="28604133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2</xdr:row>
      <xdr:rowOff>47625</xdr:rowOff>
    </xdr:from>
    <xdr:ext cx="4829175" cy="3438525"/>
    <xdr:graphicFrame macro="">
      <xdr:nvGraphicFramePr>
        <xdr:cNvPr id="59829724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24</xdr:row>
      <xdr:rowOff>0</xdr:rowOff>
    </xdr:from>
    <xdr:ext cx="4781550" cy="2171700"/>
    <xdr:graphicFrame macro="">
      <xdr:nvGraphicFramePr>
        <xdr:cNvPr id="113546446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10</xdr:col>
      <xdr:colOff>52387</xdr:colOff>
      <xdr:row>37</xdr:row>
      <xdr:rowOff>0</xdr:rowOff>
    </xdr:from>
    <xdr:to>
      <xdr:col>17</xdr:col>
      <xdr:colOff>385762</xdr:colOff>
      <xdr:row>50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ojha" refreshedDate="45995.637162037034" refreshedVersion="4" recordCount="5">
  <cacheSource type="worksheet">
    <worksheetSource ref="K16:L21" sheet="ques 4,5,6,7,8"/>
  </cacheSource>
  <cacheFields count="2">
    <cacheField name="Product" numFmtId="0">
      <sharedItems count="5">
        <s v="Notebook"/>
        <s v="Pen"/>
        <s v="Marker"/>
        <s v="Pencil"/>
        <s v="Eraser"/>
      </sharedItems>
    </cacheField>
    <cacheField name="Total Sales" numFmtId="0">
      <sharedItems containsSemiMixedTypes="0" containsString="0" containsNumber="1" containsInteger="1" minValue="1235" maxValue="7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ojha" refreshedDate="45995.63716215278" refreshedVersion="4" recordCount="50">
  <cacheSource type="worksheet">
    <worksheetSource ref="G1:G51" sheet="ques 4,5,6,7,8"/>
  </cacheSource>
  <cacheFields count="1">
    <cacheField name="OrderDate" numFmtId="14">
      <sharedItems containsSemiMixedTypes="0" containsNonDate="0" containsDate="1" containsString="0" minDate="2024-01-05T00:00:00" maxDate="2024-03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OnLoad="1" refreshedBy="ojha" refreshedDate="45995.637162384257" refreshedVersion="4" recordCount="50">
  <cacheSource type="worksheet">
    <worksheetSource ref="H1:H51" sheet="ques 4,5,6,7,8"/>
  </cacheSource>
  <cacheFields count="1"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OnLoad="1" refreshedBy="ojha" refreshedDate="45995.637162500003" refreshedVersion="4" recordCount="50">
  <cacheSource type="worksheet">
    <worksheetSource ref="G1:H51" sheet="ques 4,5,6,7,8"/>
  </cacheSource>
  <cacheFields count="2">
    <cacheField name="OrderDate" numFmtId="14">
      <sharedItems containsSemiMixedTypes="0" containsNonDate="0" containsDate="1" containsString="0" minDate="2024-01-05T00:00:00" maxDate="2024-03-09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7550"/>
  </r>
  <r>
    <x v="1"/>
    <n v="2180"/>
  </r>
  <r>
    <x v="2"/>
    <n v="3650"/>
  </r>
  <r>
    <x v="3"/>
    <n v="1235"/>
  </r>
  <r>
    <x v="4"/>
    <n v="19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d v="2024-01-05T00:00:00"/>
  </r>
  <r>
    <d v="2024-01-06T00:00:00"/>
  </r>
  <r>
    <d v="2024-01-07T00:00:00"/>
  </r>
  <r>
    <d v="2024-01-08T00:00:00"/>
  </r>
  <r>
    <d v="2024-01-10T00:00:00"/>
  </r>
  <r>
    <d v="2024-01-11T00:00:00"/>
  </r>
  <r>
    <d v="2024-01-13T00:00:00"/>
  </r>
  <r>
    <d v="2024-01-15T00:00:00"/>
  </r>
  <r>
    <d v="2024-01-17T00:00:00"/>
  </r>
  <r>
    <d v="2024-01-18T00:00:00"/>
  </r>
  <r>
    <d v="2024-01-19T00:00:00"/>
  </r>
  <r>
    <d v="2024-01-20T00:00:00"/>
  </r>
  <r>
    <d v="2024-01-22T00:00:00"/>
  </r>
  <r>
    <d v="2024-01-23T00:00:00"/>
  </r>
  <r>
    <d v="2024-01-24T00:00:00"/>
  </r>
  <r>
    <d v="2024-01-26T00:00:00"/>
  </r>
  <r>
    <d v="2024-01-28T00:00:00"/>
  </r>
  <r>
    <d v="2024-01-29T00:00:00"/>
  </r>
  <r>
    <d v="2024-01-30T00:00:00"/>
  </r>
  <r>
    <d v="2024-02-01T00:00:00"/>
  </r>
  <r>
    <d v="2024-02-02T00:00:00"/>
  </r>
  <r>
    <d v="2024-02-03T00:00:00"/>
  </r>
  <r>
    <d v="2024-02-04T00:00:00"/>
  </r>
  <r>
    <d v="2024-02-06T00:00:00"/>
  </r>
  <r>
    <d v="2024-02-07T00:00:00"/>
  </r>
  <r>
    <d v="2024-02-08T00:00:00"/>
  </r>
  <r>
    <d v="2024-02-09T00:00:00"/>
  </r>
  <r>
    <d v="2024-02-10T00:00:00"/>
  </r>
  <r>
    <d v="2024-02-12T00:00:00"/>
  </r>
  <r>
    <d v="2024-02-13T00:00:00"/>
  </r>
  <r>
    <d v="2024-02-14T00:00:00"/>
  </r>
  <r>
    <d v="2024-02-16T00:00:00"/>
  </r>
  <r>
    <d v="2024-02-17T00:00:00"/>
  </r>
  <r>
    <d v="2024-02-18T00:00:00"/>
  </r>
  <r>
    <d v="2024-02-19T00:00:00"/>
  </r>
  <r>
    <d v="2024-02-21T00:00:00"/>
  </r>
  <r>
    <d v="2024-02-22T00:00:00"/>
  </r>
  <r>
    <d v="2024-02-23T00:00:00"/>
  </r>
  <r>
    <d v="2024-02-25T00:00:00"/>
  </r>
  <r>
    <d v="2024-02-26T00:00:00"/>
  </r>
  <r>
    <d v="2024-02-27T00:00:00"/>
  </r>
  <r>
    <d v="2024-02-28T00:00:00"/>
  </r>
  <r>
    <d v="2024-03-01T00:00:00"/>
  </r>
  <r>
    <d v="2024-03-02T00:00:00"/>
  </r>
  <r>
    <d v="2024-03-03T00:00:00"/>
  </r>
  <r>
    <d v="2024-03-04T00:00:00"/>
  </r>
  <r>
    <d v="2024-03-05T00:00:00"/>
  </r>
  <r>
    <d v="2024-03-06T00:00:00"/>
  </r>
  <r>
    <d v="2024-03-07T00:00:00"/>
  </r>
  <r>
    <d v="2024-03-08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n v="500"/>
  </r>
  <r>
    <n v="200"/>
  </r>
  <r>
    <n v="375"/>
  </r>
  <r>
    <n v="250"/>
  </r>
  <r>
    <n v="150"/>
  </r>
  <r>
    <n v="600"/>
  </r>
  <r>
    <n v="200"/>
  </r>
  <r>
    <n v="180"/>
  </r>
  <r>
    <n v="550"/>
  </r>
  <r>
    <n v="400"/>
  </r>
  <r>
    <n v="200"/>
  </r>
  <r>
    <n v="280"/>
  </r>
  <r>
    <n v="700"/>
  </r>
  <r>
    <n v="280"/>
  </r>
  <r>
    <n v="300"/>
  </r>
  <r>
    <n v="125"/>
  </r>
  <r>
    <n v="160"/>
  </r>
  <r>
    <n v="500"/>
  </r>
  <r>
    <n v="150"/>
  </r>
  <r>
    <n v="450"/>
  </r>
  <r>
    <n v="450"/>
  </r>
  <r>
    <n v="175"/>
  </r>
  <r>
    <n v="240"/>
  </r>
  <r>
    <n v="550"/>
  </r>
  <r>
    <n v="140"/>
  </r>
  <r>
    <n v="400"/>
  </r>
  <r>
    <n v="110"/>
  </r>
  <r>
    <n v="216"/>
  </r>
  <r>
    <n v="650"/>
  </r>
  <r>
    <n v="320"/>
  </r>
  <r>
    <n v="250"/>
  </r>
  <r>
    <n v="90"/>
  </r>
  <r>
    <n v="176"/>
  </r>
  <r>
    <n v="850"/>
  </r>
  <r>
    <n v="190"/>
  </r>
  <r>
    <n v="375"/>
  </r>
  <r>
    <n v="140"/>
  </r>
  <r>
    <n v="192"/>
  </r>
  <r>
    <n v="800"/>
  </r>
  <r>
    <n v="270"/>
  </r>
  <r>
    <n v="525"/>
  </r>
  <r>
    <n v="150"/>
  </r>
  <r>
    <n v="208"/>
  </r>
  <r>
    <n v="700"/>
  </r>
  <r>
    <n v="200"/>
  </r>
  <r>
    <n v="425"/>
  </r>
  <r>
    <n v="95"/>
  </r>
  <r>
    <n v="256"/>
  </r>
  <r>
    <n v="600"/>
  </r>
  <r>
    <n v="2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">
  <r>
    <x v="0"/>
    <n v="500"/>
  </r>
  <r>
    <x v="1"/>
    <n v="200"/>
  </r>
  <r>
    <x v="2"/>
    <n v="375"/>
  </r>
  <r>
    <x v="3"/>
    <n v="250"/>
  </r>
  <r>
    <x v="4"/>
    <n v="150"/>
  </r>
  <r>
    <x v="5"/>
    <n v="600"/>
  </r>
  <r>
    <x v="6"/>
    <n v="200"/>
  </r>
  <r>
    <x v="7"/>
    <n v="180"/>
  </r>
  <r>
    <x v="8"/>
    <n v="550"/>
  </r>
  <r>
    <x v="9"/>
    <n v="400"/>
  </r>
  <r>
    <x v="10"/>
    <n v="200"/>
  </r>
  <r>
    <x v="11"/>
    <n v="280"/>
  </r>
  <r>
    <x v="12"/>
    <n v="700"/>
  </r>
  <r>
    <x v="13"/>
    <n v="280"/>
  </r>
  <r>
    <x v="14"/>
    <n v="300"/>
  </r>
  <r>
    <x v="15"/>
    <n v="125"/>
  </r>
  <r>
    <x v="16"/>
    <n v="160"/>
  </r>
  <r>
    <x v="17"/>
    <n v="500"/>
  </r>
  <r>
    <x v="18"/>
    <n v="150"/>
  </r>
  <r>
    <x v="19"/>
    <n v="450"/>
  </r>
  <r>
    <x v="20"/>
    <n v="450"/>
  </r>
  <r>
    <x v="21"/>
    <n v="175"/>
  </r>
  <r>
    <x v="22"/>
    <n v="240"/>
  </r>
  <r>
    <x v="23"/>
    <n v="550"/>
  </r>
  <r>
    <x v="24"/>
    <n v="140"/>
  </r>
  <r>
    <x v="25"/>
    <n v="400"/>
  </r>
  <r>
    <x v="26"/>
    <n v="110"/>
  </r>
  <r>
    <x v="27"/>
    <n v="216"/>
  </r>
  <r>
    <x v="28"/>
    <n v="650"/>
  </r>
  <r>
    <x v="29"/>
    <n v="320"/>
  </r>
  <r>
    <x v="30"/>
    <n v="250"/>
  </r>
  <r>
    <x v="31"/>
    <n v="90"/>
  </r>
  <r>
    <x v="32"/>
    <n v="176"/>
  </r>
  <r>
    <x v="33"/>
    <n v="850"/>
  </r>
  <r>
    <x v="34"/>
    <n v="190"/>
  </r>
  <r>
    <x v="35"/>
    <n v="375"/>
  </r>
  <r>
    <x v="36"/>
    <n v="140"/>
  </r>
  <r>
    <x v="37"/>
    <n v="192"/>
  </r>
  <r>
    <x v="38"/>
    <n v="800"/>
  </r>
  <r>
    <x v="39"/>
    <n v="270"/>
  </r>
  <r>
    <x v="40"/>
    <n v="525"/>
  </r>
  <r>
    <x v="41"/>
    <n v="150"/>
  </r>
  <r>
    <x v="42"/>
    <n v="208"/>
  </r>
  <r>
    <x v="43"/>
    <n v="700"/>
  </r>
  <r>
    <x v="44"/>
    <n v="200"/>
  </r>
  <r>
    <x v="45"/>
    <n v="425"/>
  </r>
  <r>
    <x v="46"/>
    <n v="95"/>
  </r>
  <r>
    <x v="47"/>
    <n v="256"/>
  </r>
  <r>
    <x v="48"/>
    <n v="600"/>
  </r>
  <r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heet2" cacheId="6" applyNumberFormats="0" applyBorderFormats="0" applyFontFormats="0" applyPatternFormats="0" applyAlignmentFormats="0" applyWidthHeightFormats="0" dataCaption="" updatedVersion="4" compact="0" compactData="0">
  <location ref="A3:B9" firstHeaderRow="1" firstDataRow="1" firstDataCol="1"/>
  <pivotFields count="2">
    <pivotField name="Product" axis="axisRow" compact="0" outline="0" multipleItemSelectionAllowed="1" showAll="0" sortType="ascending">
      <items count="6">
        <item x="4"/>
        <item x="2"/>
        <item x="0"/>
        <item x="1"/>
        <item x="3"/>
        <item t="default"/>
      </items>
    </pivotField>
    <pivotField name="Total Sales" dataField="1" compact="0" outline="0" multipleItemSelectionAllowe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Sheet6" cacheId="8" applyNumberFormats="0" applyBorderFormats="0" applyFontFormats="0" applyPatternFormats="0" applyAlignmentFormats="0" applyWidthHeightFormats="0" dataCaption="" updatedVersion="4" compact="0" compactData="0">
  <location ref="A3:C20" firstHeaderRow="1" firstDataRow="1" firstDataCol="0"/>
  <pivotFields count="1">
    <pivotField name="OrderDate" compact="0" numFmtId="14" outline="0" multipleItemSelectionAllowed="1" showAll="0"/>
  </pivot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heet7" cacheId="10" applyNumberFormats="0" applyBorderFormats="0" applyFontFormats="0" applyPatternFormats="0" applyAlignmentFormats="0" applyWidthHeightFormats="0" dataCaption="" updatedVersion="4" compact="0" compactData="0">
  <location ref="A3:C20" firstHeaderRow="1" firstDataRow="1" firstDataCol="0"/>
  <pivotFields count="1">
    <pivotField name="Total Sales" compact="0" outline="0" multipleItemSelectionAllowed="1" showAll="0"/>
  </pivot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Sheet8" cacheId="13" applyNumberFormats="0" applyBorderFormats="0" applyFontFormats="0" applyPatternFormats="0" applyAlignmentFormats="0" applyWidthHeightFormats="0" dataCaption="" updatedVersion="4" compact="0" compactData="0">
  <location ref="A3:B54" firstHeaderRow="1" firstDataRow="1" firstDataCol="1"/>
  <pivotFields count="2">
    <pivotField name="OrderDate" axis="axisRow" compact="0" numFmtId="14" outline="0" multipleItemSelectionAllowed="1" showAll="0" sortType="a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s" dataField="1" compact="0" outline="0" multipleItemSelectionAllowe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1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00"/>
  <sheetViews>
    <sheetView topLeftCell="A34" workbookViewId="0">
      <selection sqref="A1:N1"/>
    </sheetView>
  </sheetViews>
  <sheetFormatPr defaultColWidth="12.625" defaultRowHeight="15" customHeight="1"/>
  <cols>
    <col min="1" max="1" width="4.375" customWidth="1"/>
    <col min="2" max="2" width="12.125" customWidth="1"/>
    <col min="3" max="4" width="7.875" customWidth="1"/>
    <col min="5" max="5" width="9.375" customWidth="1"/>
    <col min="6" max="6" width="9.25" customWidth="1"/>
    <col min="7" max="12" width="7.875" customWidth="1"/>
    <col min="13" max="13" width="9.625" customWidth="1"/>
    <col min="14" max="14" width="10.875" customWidth="1"/>
    <col min="15" max="15" width="9.25" customWidth="1"/>
    <col min="16" max="16" width="10.5" customWidth="1"/>
    <col min="17" max="17" width="9.75" customWidth="1"/>
    <col min="18" max="25" width="7.875" customWidth="1"/>
  </cols>
  <sheetData>
    <row r="1" spans="1:14" ht="27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5.75">
      <c r="A2" s="1" t="s">
        <v>1</v>
      </c>
      <c r="B2" s="2" t="s">
        <v>2</v>
      </c>
    </row>
    <row r="3" spans="1:14" ht="21.75" customHeight="1">
      <c r="A3" s="3" t="s">
        <v>3</v>
      </c>
      <c r="B3" s="4" t="s">
        <v>4</v>
      </c>
      <c r="C3" s="5"/>
      <c r="D3" s="5"/>
      <c r="E3" s="6"/>
    </row>
    <row r="4" spans="1:14">
      <c r="B4" s="7"/>
    </row>
    <row r="5" spans="1:14">
      <c r="B5" s="8" t="s">
        <v>5</v>
      </c>
    </row>
    <row r="6" spans="1:14">
      <c r="B6" s="7"/>
    </row>
    <row r="7" spans="1:14">
      <c r="B7" s="8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</row>
    <row r="8" spans="1:14">
      <c r="B8" s="7"/>
      <c r="H8" s="10">
        <v>1</v>
      </c>
      <c r="I8" s="10" t="s">
        <v>13</v>
      </c>
      <c r="J8" s="10">
        <v>50</v>
      </c>
      <c r="K8" s="10">
        <v>50</v>
      </c>
      <c r="L8" s="10">
        <v>50</v>
      </c>
      <c r="M8" s="10">
        <f t="shared" ref="M8:M9" si="0">SUM(J8:L8)</f>
        <v>150</v>
      </c>
      <c r="N8" s="11"/>
    </row>
    <row r="9" spans="1:14">
      <c r="B9" s="12" t="s">
        <v>14</v>
      </c>
      <c r="H9" s="10">
        <v>2</v>
      </c>
      <c r="I9" s="10" t="s">
        <v>15</v>
      </c>
      <c r="J9" s="10">
        <v>60</v>
      </c>
      <c r="K9" s="10">
        <v>60</v>
      </c>
      <c r="L9" s="10">
        <v>40</v>
      </c>
      <c r="M9" s="10">
        <f t="shared" si="0"/>
        <v>160</v>
      </c>
      <c r="N9" s="11"/>
    </row>
    <row r="10" spans="1:14">
      <c r="B10" s="7" t="s">
        <v>16</v>
      </c>
    </row>
    <row r="11" spans="1:14">
      <c r="B11" s="7" t="s">
        <v>17</v>
      </c>
    </row>
    <row r="13" spans="1:14">
      <c r="B13" s="2" t="s">
        <v>18</v>
      </c>
    </row>
    <row r="15" spans="1:14" ht="23.25">
      <c r="B15" s="4" t="s">
        <v>19</v>
      </c>
      <c r="C15" s="5"/>
      <c r="D15" s="5"/>
      <c r="E15" s="6"/>
    </row>
    <row r="16" spans="1:14">
      <c r="B16" s="7"/>
    </row>
    <row r="17" spans="2:16">
      <c r="B17" s="8" t="s">
        <v>20</v>
      </c>
      <c r="J17" s="9" t="s">
        <v>7</v>
      </c>
      <c r="K17" s="9" t="s">
        <v>21</v>
      </c>
      <c r="L17" s="9" t="s">
        <v>9</v>
      </c>
      <c r="M17" s="9" t="s">
        <v>10</v>
      </c>
      <c r="N17" s="9" t="s">
        <v>11</v>
      </c>
      <c r="O17" s="9" t="s">
        <v>12</v>
      </c>
      <c r="P17" s="9" t="s">
        <v>22</v>
      </c>
    </row>
    <row r="18" spans="2:16">
      <c r="B18" s="7"/>
      <c r="J18" s="10">
        <v>1</v>
      </c>
      <c r="K18" s="10" t="s">
        <v>13</v>
      </c>
      <c r="L18" s="10">
        <v>50</v>
      </c>
      <c r="M18" s="10">
        <v>50</v>
      </c>
      <c r="N18" s="10">
        <v>35</v>
      </c>
      <c r="O18" s="10">
        <f t="shared" ref="O18:O19" si="1">SUM(L18:N18)</f>
        <v>135</v>
      </c>
      <c r="P18" s="13">
        <f t="shared" ref="P18:P19" si="2">O18/$N$22</f>
        <v>0.45</v>
      </c>
    </row>
    <row r="19" spans="2:16">
      <c r="B19" s="8" t="s">
        <v>23</v>
      </c>
      <c r="J19" s="10">
        <v>2</v>
      </c>
      <c r="K19" s="10" t="s">
        <v>15</v>
      </c>
      <c r="L19" s="10">
        <v>60</v>
      </c>
      <c r="M19" s="10">
        <v>60</v>
      </c>
      <c r="N19" s="10">
        <v>40</v>
      </c>
      <c r="O19" s="10">
        <f t="shared" si="1"/>
        <v>160</v>
      </c>
      <c r="P19" s="13">
        <f t="shared" si="2"/>
        <v>0.53333333333333333</v>
      </c>
    </row>
    <row r="20" spans="2:16">
      <c r="B20" s="7"/>
    </row>
    <row r="21" spans="2:16" ht="15.75" customHeight="1">
      <c r="B21" s="8" t="s">
        <v>14</v>
      </c>
    </row>
    <row r="22" spans="2:16" ht="15.75" customHeight="1">
      <c r="B22" s="7" t="s">
        <v>24</v>
      </c>
      <c r="L22" s="14" t="s">
        <v>25</v>
      </c>
      <c r="M22" s="14"/>
      <c r="N22" s="15">
        <v>300</v>
      </c>
    </row>
    <row r="23" spans="2:16" ht="15.75" customHeight="1">
      <c r="B23" s="7" t="s">
        <v>26</v>
      </c>
    </row>
    <row r="24" spans="2:16" ht="15.75" customHeight="1"/>
    <row r="25" spans="2:16" ht="12.75" customHeight="1"/>
    <row r="26" spans="2:16" ht="15.75" customHeight="1">
      <c r="B26" s="4" t="s">
        <v>27</v>
      </c>
      <c r="C26" s="5"/>
      <c r="D26" s="5"/>
      <c r="E26" s="6"/>
    </row>
    <row r="27" spans="2:16" ht="15.75" customHeight="1">
      <c r="B27" s="7"/>
    </row>
    <row r="28" spans="2:16" ht="15.75" customHeight="1">
      <c r="B28" s="8" t="s">
        <v>28</v>
      </c>
    </row>
    <row r="29" spans="2:16" ht="15.75" customHeight="1">
      <c r="B29" s="7"/>
    </row>
    <row r="30" spans="2:16" ht="15.75" customHeight="1">
      <c r="B30" s="8" t="s">
        <v>29</v>
      </c>
    </row>
    <row r="31" spans="2:16" ht="15.75" customHeight="1">
      <c r="B31" s="7"/>
    </row>
    <row r="32" spans="2:16" ht="15.75" customHeight="1">
      <c r="B32" s="8" t="s">
        <v>14</v>
      </c>
    </row>
    <row r="33" spans="2:17" ht="15.75" customHeight="1">
      <c r="B33" s="7"/>
    </row>
    <row r="34" spans="2:17" ht="15.75" customHeight="1">
      <c r="B34" s="16" t="s">
        <v>30</v>
      </c>
      <c r="H34" s="9" t="s">
        <v>7</v>
      </c>
      <c r="I34" s="9" t="s">
        <v>21</v>
      </c>
      <c r="J34" s="9" t="s">
        <v>9</v>
      </c>
      <c r="K34" s="9" t="s">
        <v>10</v>
      </c>
      <c r="L34" s="9" t="s">
        <v>11</v>
      </c>
      <c r="M34" s="9" t="s">
        <v>12</v>
      </c>
      <c r="N34" s="9" t="s">
        <v>22</v>
      </c>
      <c r="O34" s="9" t="s">
        <v>31</v>
      </c>
      <c r="P34" s="9" t="s">
        <v>32</v>
      </c>
      <c r="Q34" s="9" t="s">
        <v>33</v>
      </c>
    </row>
    <row r="35" spans="2:17" ht="15.75" customHeight="1">
      <c r="B35" s="7"/>
      <c r="H35" s="10">
        <v>1</v>
      </c>
      <c r="I35" s="10" t="s">
        <v>13</v>
      </c>
      <c r="J35" s="10">
        <v>50</v>
      </c>
      <c r="K35" s="10">
        <v>50</v>
      </c>
      <c r="L35" s="10">
        <v>35</v>
      </c>
      <c r="M35" s="10">
        <f t="shared" ref="M35:M36" si="3">SUM(J35:L35)</f>
        <v>135</v>
      </c>
      <c r="N35" s="13">
        <f t="shared" ref="N35:N36" si="4">M35/$N$38</f>
        <v>0.45</v>
      </c>
      <c r="O35" s="13">
        <f t="shared" ref="O35:O36" si="5">J35/M$35</f>
        <v>0.37037037037037035</v>
      </c>
      <c r="P35" s="13">
        <f t="shared" ref="P35:Q35" si="6">K35/$M35</f>
        <v>0.37037037037037035</v>
      </c>
      <c r="Q35" s="13">
        <f t="shared" si="6"/>
        <v>0.25925925925925924</v>
      </c>
    </row>
    <row r="36" spans="2:17" ht="15.75" customHeight="1">
      <c r="B36" s="16" t="s">
        <v>34</v>
      </c>
      <c r="H36" s="10">
        <v>2</v>
      </c>
      <c r="I36" s="10" t="s">
        <v>15</v>
      </c>
      <c r="J36" s="10">
        <v>60</v>
      </c>
      <c r="K36" s="10">
        <v>60</v>
      </c>
      <c r="L36" s="10">
        <v>40</v>
      </c>
      <c r="M36" s="10">
        <f t="shared" si="3"/>
        <v>160</v>
      </c>
      <c r="N36" s="13">
        <f t="shared" si="4"/>
        <v>0.53333333333333333</v>
      </c>
      <c r="O36" s="13">
        <f t="shared" si="5"/>
        <v>0.44444444444444442</v>
      </c>
      <c r="P36" s="13">
        <f t="shared" ref="P36:Q36" si="7">K36/$M36</f>
        <v>0.375</v>
      </c>
      <c r="Q36" s="13">
        <f t="shared" si="7"/>
        <v>0.25</v>
      </c>
    </row>
    <row r="37" spans="2:17" ht="15.75" customHeight="1">
      <c r="B37" s="7"/>
    </row>
    <row r="38" spans="2:17" ht="15.75" customHeight="1">
      <c r="B38" s="8" t="s">
        <v>14</v>
      </c>
      <c r="N38" s="2">
        <v>300</v>
      </c>
    </row>
    <row r="39" spans="2:17" ht="15.75" customHeight="1">
      <c r="B39" s="7" t="s">
        <v>35</v>
      </c>
    </row>
    <row r="40" spans="2:17" ht="15.75" customHeight="1"/>
    <row r="41" spans="2:17" ht="15.75" customHeight="1">
      <c r="B41" s="2" t="s">
        <v>36</v>
      </c>
    </row>
    <row r="42" spans="2:17" ht="15.75" customHeight="1"/>
    <row r="43" spans="2:17" ht="15.75" customHeight="1"/>
    <row r="44" spans="2:17" ht="15.75" customHeight="1"/>
    <row r="45" spans="2:17" ht="15.75" customHeight="1">
      <c r="B45" s="17" t="s">
        <v>37</v>
      </c>
    </row>
    <row r="46" spans="2:17" ht="15.75" customHeight="1"/>
    <row r="47" spans="2:17" ht="15.75" customHeight="1">
      <c r="B47" s="18" t="s">
        <v>38</v>
      </c>
      <c r="C47" s="18" t="s">
        <v>39</v>
      </c>
      <c r="D47" s="18" t="s">
        <v>40</v>
      </c>
      <c r="E47" s="18" t="s">
        <v>41</v>
      </c>
      <c r="F47" s="18" t="s">
        <v>42</v>
      </c>
    </row>
    <row r="48" spans="2:17" ht="15.75" customHeight="1">
      <c r="B48" s="19" t="s">
        <v>43</v>
      </c>
      <c r="C48" s="20" t="s">
        <v>44</v>
      </c>
      <c r="D48" s="20" t="s">
        <v>45</v>
      </c>
      <c r="E48" s="20" t="s">
        <v>45</v>
      </c>
      <c r="F48" s="20" t="s">
        <v>46</v>
      </c>
    </row>
    <row r="49" spans="1:11" ht="15.75" customHeight="1">
      <c r="B49" s="19" t="s">
        <v>47</v>
      </c>
      <c r="C49" s="20" t="s">
        <v>48</v>
      </c>
      <c r="D49" s="20" t="s">
        <v>49</v>
      </c>
      <c r="E49" s="20" t="s">
        <v>49</v>
      </c>
      <c r="F49" s="20" t="s">
        <v>50</v>
      </c>
    </row>
    <row r="50" spans="1:11" ht="15.75" customHeight="1">
      <c r="B50" s="19" t="s">
        <v>51</v>
      </c>
      <c r="C50" s="20" t="s">
        <v>52</v>
      </c>
      <c r="D50" s="20" t="s">
        <v>53</v>
      </c>
      <c r="E50" s="20" t="s">
        <v>54</v>
      </c>
      <c r="F50" s="20" t="s">
        <v>55</v>
      </c>
    </row>
    <row r="51" spans="1:11" ht="15.75" customHeight="1"/>
    <row r="52" spans="1:11" ht="15.75" customHeight="1"/>
    <row r="53" spans="1:11" ht="15.75" customHeight="1">
      <c r="A53" s="3" t="s">
        <v>56</v>
      </c>
      <c r="B53" s="3" t="s">
        <v>57</v>
      </c>
      <c r="C53" s="3"/>
      <c r="D53" s="3"/>
      <c r="E53" s="3"/>
      <c r="F53" s="3"/>
      <c r="G53" s="3"/>
    </row>
    <row r="54" spans="1:11" ht="15.75" customHeight="1"/>
    <row r="55" spans="1:11" ht="15.75" customHeight="1">
      <c r="A55" s="3" t="s">
        <v>58</v>
      </c>
      <c r="B55" s="14" t="s">
        <v>59</v>
      </c>
      <c r="C55" s="14" t="s">
        <v>60</v>
      </c>
    </row>
    <row r="56" spans="1:11" ht="15.75" customHeight="1">
      <c r="B56" s="14" t="s">
        <v>61</v>
      </c>
      <c r="C56" s="15">
        <v>500000</v>
      </c>
    </row>
    <row r="57" spans="1:11" ht="15.75" customHeight="1">
      <c r="B57" s="14" t="s">
        <v>62</v>
      </c>
      <c r="C57" s="15">
        <v>10500</v>
      </c>
    </row>
    <row r="58" spans="1:11" ht="15.75" customHeight="1">
      <c r="B58" s="14" t="s">
        <v>63</v>
      </c>
      <c r="C58" s="15">
        <v>25000</v>
      </c>
    </row>
    <row r="59" spans="1:11" ht="15.75" customHeight="1"/>
    <row r="60" spans="1:11" ht="15.75" customHeight="1">
      <c r="B60" s="3" t="s">
        <v>64</v>
      </c>
      <c r="E60" s="2">
        <f>SUM(C56:C57)</f>
        <v>510500</v>
      </c>
    </row>
    <row r="61" spans="1:11" ht="15.75" customHeight="1">
      <c r="B61" s="3" t="s">
        <v>65</v>
      </c>
      <c r="C61" s="3"/>
      <c r="D61" s="3"/>
    </row>
    <row r="62" spans="1:11" ht="15.75" customHeight="1"/>
    <row r="63" spans="1:11" ht="15.75" customHeight="1"/>
    <row r="64" spans="1:11" ht="15.75" customHeight="1">
      <c r="A64" s="3" t="s">
        <v>66</v>
      </c>
      <c r="B64" s="3" t="s">
        <v>67</v>
      </c>
      <c r="C64" s="3"/>
      <c r="D64" s="3"/>
      <c r="E64" s="3"/>
      <c r="F64" s="3"/>
      <c r="G64" s="3"/>
      <c r="H64" s="3"/>
      <c r="I64" s="3"/>
      <c r="J64" s="3"/>
      <c r="K64" s="3" t="s">
        <v>68</v>
      </c>
    </row>
    <row r="65" spans="1:11" ht="15.75" customHeight="1"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>
      <c r="A66" s="3" t="s">
        <v>58</v>
      </c>
      <c r="B66" s="14" t="s">
        <v>69</v>
      </c>
      <c r="C66" s="14" t="s">
        <v>60</v>
      </c>
      <c r="D66" s="14" t="s">
        <v>70</v>
      </c>
    </row>
    <row r="67" spans="1:11" ht="15.75" customHeight="1">
      <c r="B67" s="14" t="s">
        <v>71</v>
      </c>
      <c r="C67" s="14">
        <v>90</v>
      </c>
      <c r="D67" s="14">
        <v>1000</v>
      </c>
    </row>
    <row r="68" spans="1:11" ht="15.75" customHeight="1">
      <c r="B68" s="14" t="s">
        <v>72</v>
      </c>
      <c r="C68" s="14">
        <v>150</v>
      </c>
      <c r="D68" s="14">
        <v>1200</v>
      </c>
    </row>
    <row r="69" spans="1:11" ht="15.75" customHeight="1">
      <c r="B69" s="14" t="s">
        <v>73</v>
      </c>
      <c r="C69" s="14">
        <v>250</v>
      </c>
      <c r="D69" s="14">
        <v>1500</v>
      </c>
    </row>
    <row r="70" spans="1:11" ht="15.75" customHeight="1"/>
    <row r="71" spans="1:11" ht="15.75" customHeight="1">
      <c r="B71" s="14" t="s">
        <v>74</v>
      </c>
      <c r="C71" s="21"/>
      <c r="D71" s="21"/>
      <c r="E71" s="21">
        <f>AVERAGEIFS(D67:D69,C67:C69,"&gt;100",C67:C69,"&lt;300")</f>
        <v>1350</v>
      </c>
    </row>
    <row r="72" spans="1:11" ht="15.75" customHeight="1">
      <c r="B72" s="3" t="s">
        <v>75</v>
      </c>
    </row>
    <row r="73" spans="1:11" ht="15.75" customHeight="1">
      <c r="B73" s="3" t="s">
        <v>76</v>
      </c>
      <c r="C73" s="3"/>
      <c r="D73" s="3"/>
      <c r="E73" s="3"/>
    </row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ageMargins left="0.25" right="0.2" top="0.25" bottom="0.25" header="0" footer="0"/>
  <pageSetup paperSize="9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1000"/>
  <sheetViews>
    <sheetView workbookViewId="0"/>
  </sheetViews>
  <sheetFormatPr defaultColWidth="12.625" defaultRowHeight="15" customHeight="1"/>
  <cols>
    <col min="1" max="1" width="6.5" customWidth="1"/>
    <col min="2" max="2" width="4.375" customWidth="1"/>
    <col min="3" max="3" width="12.125" customWidth="1"/>
    <col min="4" max="5" width="7.875" customWidth="1"/>
    <col min="6" max="6" width="9.375" customWidth="1"/>
    <col min="7" max="7" width="9.25" customWidth="1"/>
    <col min="8" max="13" width="7.875" customWidth="1"/>
    <col min="14" max="14" width="9.625" customWidth="1"/>
    <col min="15" max="15" width="10.875" customWidth="1"/>
    <col min="16" max="16" width="9.25" customWidth="1"/>
    <col min="17" max="17" width="10.5" customWidth="1"/>
    <col min="18" max="18" width="9.75" customWidth="1"/>
    <col min="19" max="26" width="7.875" customWidth="1"/>
  </cols>
  <sheetData>
    <row r="1" spans="2:15"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2:15" ht="15.75">
      <c r="B2" s="1" t="s">
        <v>1</v>
      </c>
      <c r="C2" s="2" t="s">
        <v>2</v>
      </c>
    </row>
    <row r="3" spans="2:15" ht="21.75" customHeight="1">
      <c r="B3" s="3" t="s">
        <v>3</v>
      </c>
      <c r="C3" s="4" t="s">
        <v>4</v>
      </c>
      <c r="D3" s="5"/>
      <c r="E3" s="5"/>
      <c r="F3" s="6"/>
    </row>
    <row r="4" spans="2:15">
      <c r="C4" s="7"/>
    </row>
    <row r="5" spans="2:15">
      <c r="C5" s="8" t="s">
        <v>77</v>
      </c>
    </row>
    <row r="6" spans="2:15">
      <c r="C6" s="7"/>
    </row>
    <row r="7" spans="2:15">
      <c r="C7" s="8" t="s">
        <v>78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</row>
    <row r="8" spans="2:15">
      <c r="C8" s="7"/>
      <c r="I8" s="10">
        <v>1</v>
      </c>
      <c r="J8" s="10" t="s">
        <v>13</v>
      </c>
      <c r="K8" s="10">
        <v>50</v>
      </c>
      <c r="L8" s="10">
        <v>50</v>
      </c>
      <c r="M8" s="10">
        <v>50</v>
      </c>
      <c r="N8" s="10">
        <f t="shared" ref="N8:N9" si="0">SUM(K8:M8)</f>
        <v>150</v>
      </c>
      <c r="O8" s="11"/>
    </row>
    <row r="9" spans="2:15">
      <c r="C9" s="12" t="s">
        <v>14</v>
      </c>
      <c r="I9" s="10">
        <v>2</v>
      </c>
      <c r="J9" s="10" t="s">
        <v>15</v>
      </c>
      <c r="K9" s="10">
        <v>60</v>
      </c>
      <c r="L9" s="10">
        <v>60</v>
      </c>
      <c r="M9" s="10">
        <v>40</v>
      </c>
      <c r="N9" s="10">
        <f t="shared" si="0"/>
        <v>160</v>
      </c>
      <c r="O9" s="11"/>
    </row>
    <row r="10" spans="2:15">
      <c r="C10" s="7" t="s">
        <v>79</v>
      </c>
    </row>
    <row r="11" spans="2:15">
      <c r="C11" s="7" t="s">
        <v>80</v>
      </c>
    </row>
    <row r="13" spans="2:15">
      <c r="C13" s="2" t="s">
        <v>81</v>
      </c>
    </row>
    <row r="15" spans="2:15" ht="23.25">
      <c r="C15" s="4" t="s">
        <v>19</v>
      </c>
      <c r="D15" s="5"/>
      <c r="E15" s="5"/>
      <c r="F15" s="6"/>
    </row>
    <row r="16" spans="2:15">
      <c r="C16" s="7"/>
    </row>
    <row r="17" spans="3:17">
      <c r="C17" s="8" t="s">
        <v>82</v>
      </c>
      <c r="K17" s="9" t="s">
        <v>7</v>
      </c>
      <c r="L17" s="9" t="s">
        <v>21</v>
      </c>
      <c r="M17" s="9" t="s">
        <v>9</v>
      </c>
      <c r="N17" s="9" t="s">
        <v>10</v>
      </c>
      <c r="O17" s="9" t="s">
        <v>11</v>
      </c>
      <c r="P17" s="9" t="s">
        <v>12</v>
      </c>
      <c r="Q17" s="9" t="s">
        <v>22</v>
      </c>
    </row>
    <row r="18" spans="3:17">
      <c r="C18" s="7"/>
      <c r="K18" s="10">
        <v>1</v>
      </c>
      <c r="L18" s="10" t="s">
        <v>13</v>
      </c>
      <c r="M18" s="10">
        <v>50</v>
      </c>
      <c r="N18" s="10">
        <v>50</v>
      </c>
      <c r="O18" s="10">
        <v>35</v>
      </c>
      <c r="P18" s="10">
        <f t="shared" ref="P18:P19" si="1">SUM(M18:O18)</f>
        <v>135</v>
      </c>
      <c r="Q18" s="13">
        <f t="shared" ref="Q18:Q19" si="2">P18/$O$22</f>
        <v>0.45</v>
      </c>
    </row>
    <row r="19" spans="3:17">
      <c r="C19" s="8" t="s">
        <v>83</v>
      </c>
      <c r="K19" s="10">
        <v>2</v>
      </c>
      <c r="L19" s="10" t="s">
        <v>15</v>
      </c>
      <c r="M19" s="10">
        <v>60</v>
      </c>
      <c r="N19" s="10">
        <v>60</v>
      </c>
      <c r="O19" s="10">
        <v>40</v>
      </c>
      <c r="P19" s="10">
        <f t="shared" si="1"/>
        <v>160</v>
      </c>
      <c r="Q19" s="13">
        <f t="shared" si="2"/>
        <v>0.53333333333333333</v>
      </c>
    </row>
    <row r="20" spans="3:17">
      <c r="C20" s="7"/>
    </row>
    <row r="21" spans="3:17" ht="15.75" customHeight="1">
      <c r="C21" s="8" t="s">
        <v>14</v>
      </c>
    </row>
    <row r="22" spans="3:17" ht="15.75" customHeight="1">
      <c r="C22" s="7" t="s">
        <v>84</v>
      </c>
      <c r="M22" s="14" t="s">
        <v>25</v>
      </c>
      <c r="N22" s="14"/>
      <c r="O22" s="15">
        <v>300</v>
      </c>
    </row>
    <row r="23" spans="3:17" ht="15.75" customHeight="1">
      <c r="C23" s="7" t="s">
        <v>85</v>
      </c>
    </row>
    <row r="24" spans="3:17" ht="15.75" customHeight="1"/>
    <row r="25" spans="3:17" ht="12.75" customHeight="1"/>
    <row r="26" spans="3:17" ht="15.75" customHeight="1">
      <c r="C26" s="4" t="s">
        <v>27</v>
      </c>
      <c r="D26" s="5"/>
      <c r="E26" s="5"/>
      <c r="F26" s="6"/>
    </row>
    <row r="27" spans="3:17" ht="15.75" customHeight="1">
      <c r="C27" s="7"/>
    </row>
    <row r="28" spans="3:17" ht="15.75" customHeight="1">
      <c r="C28" s="8" t="s">
        <v>86</v>
      </c>
    </row>
    <row r="29" spans="3:17" ht="15.75" customHeight="1">
      <c r="C29" s="7"/>
    </row>
    <row r="30" spans="3:17" ht="15.75" customHeight="1">
      <c r="C30" s="8" t="s">
        <v>29</v>
      </c>
    </row>
    <row r="31" spans="3:17" ht="15.75" customHeight="1">
      <c r="C31" s="7"/>
    </row>
    <row r="32" spans="3:17" ht="15.75" customHeight="1">
      <c r="C32" s="8" t="s">
        <v>14</v>
      </c>
    </row>
    <row r="33" spans="3:18" ht="15.75" customHeight="1">
      <c r="C33" s="7"/>
    </row>
    <row r="34" spans="3:18" ht="15.75" customHeight="1">
      <c r="C34" s="16" t="s">
        <v>87</v>
      </c>
      <c r="I34" s="9" t="s">
        <v>7</v>
      </c>
      <c r="J34" s="9" t="s">
        <v>21</v>
      </c>
      <c r="K34" s="9" t="s">
        <v>9</v>
      </c>
      <c r="L34" s="9" t="s">
        <v>10</v>
      </c>
      <c r="M34" s="9" t="s">
        <v>11</v>
      </c>
      <c r="N34" s="9" t="s">
        <v>12</v>
      </c>
      <c r="O34" s="9" t="s">
        <v>22</v>
      </c>
      <c r="P34" s="9" t="s">
        <v>31</v>
      </c>
      <c r="Q34" s="9" t="s">
        <v>32</v>
      </c>
      <c r="R34" s="9" t="s">
        <v>33</v>
      </c>
    </row>
    <row r="35" spans="3:18" ht="15.75" customHeight="1">
      <c r="C35" s="7"/>
      <c r="I35" s="10">
        <v>1</v>
      </c>
      <c r="J35" s="10" t="s">
        <v>13</v>
      </c>
      <c r="K35" s="10">
        <v>50</v>
      </c>
      <c r="L35" s="10">
        <v>50</v>
      </c>
      <c r="M35" s="10">
        <v>35</v>
      </c>
      <c r="N35" s="10">
        <f t="shared" ref="N35:N36" si="3">SUM(K35:M35)</f>
        <v>135</v>
      </c>
      <c r="O35" s="13">
        <f t="shared" ref="O35:O36" si="4">N35/$O$38</f>
        <v>0.45</v>
      </c>
      <c r="P35" s="13">
        <f t="shared" ref="P35:P36" si="5">K35/N$35</f>
        <v>0.37037037037037035</v>
      </c>
      <c r="Q35" s="13">
        <f t="shared" ref="Q35:R35" si="6">L35/$N35</f>
        <v>0.37037037037037035</v>
      </c>
      <c r="R35" s="13">
        <f t="shared" si="6"/>
        <v>0.25925925925925924</v>
      </c>
    </row>
    <row r="36" spans="3:18" ht="15.75" customHeight="1">
      <c r="C36" s="16" t="s">
        <v>88</v>
      </c>
      <c r="I36" s="10">
        <v>2</v>
      </c>
      <c r="J36" s="10" t="s">
        <v>15</v>
      </c>
      <c r="K36" s="10">
        <v>60</v>
      </c>
      <c r="L36" s="10">
        <v>60</v>
      </c>
      <c r="M36" s="10">
        <v>40</v>
      </c>
      <c r="N36" s="10">
        <f t="shared" si="3"/>
        <v>160</v>
      </c>
      <c r="O36" s="13">
        <f t="shared" si="4"/>
        <v>0.53333333333333333</v>
      </c>
      <c r="P36" s="13">
        <f t="shared" si="5"/>
        <v>0.44444444444444442</v>
      </c>
      <c r="Q36" s="13">
        <f t="shared" ref="Q36:R36" si="7">L36/$N36</f>
        <v>0.375</v>
      </c>
      <c r="R36" s="13">
        <f t="shared" si="7"/>
        <v>0.25</v>
      </c>
    </row>
    <row r="37" spans="3:18" ht="15.75" customHeight="1">
      <c r="C37" s="7"/>
    </row>
    <row r="38" spans="3:18" ht="15.75" customHeight="1">
      <c r="C38" s="8" t="s">
        <v>14</v>
      </c>
      <c r="O38" s="2">
        <v>300</v>
      </c>
    </row>
    <row r="39" spans="3:18" ht="15.75" customHeight="1">
      <c r="C39" s="7" t="s">
        <v>89</v>
      </c>
    </row>
    <row r="40" spans="3:18" ht="15.75" customHeight="1"/>
    <row r="41" spans="3:18" ht="15.75" customHeight="1">
      <c r="C41" s="2" t="s">
        <v>90</v>
      </c>
    </row>
    <row r="42" spans="3:18" ht="15.75" customHeight="1"/>
    <row r="43" spans="3:18" ht="15.75" customHeight="1"/>
    <row r="44" spans="3:18" ht="15.75" customHeight="1"/>
    <row r="45" spans="3:18" ht="15.75" customHeight="1">
      <c r="C45" s="17" t="s">
        <v>37</v>
      </c>
    </row>
    <row r="46" spans="3:18" ht="15.75" customHeight="1"/>
    <row r="47" spans="3:18" ht="15.75" customHeight="1">
      <c r="C47" s="18" t="s">
        <v>38</v>
      </c>
      <c r="D47" s="18" t="s">
        <v>39</v>
      </c>
      <c r="E47" s="18" t="s">
        <v>40</v>
      </c>
      <c r="F47" s="18" t="s">
        <v>41</v>
      </c>
      <c r="G47" s="18" t="s">
        <v>42</v>
      </c>
    </row>
    <row r="48" spans="3:18" ht="15.75" customHeight="1">
      <c r="C48" s="19" t="s">
        <v>43</v>
      </c>
      <c r="D48" s="20" t="s">
        <v>44</v>
      </c>
      <c r="E48" s="20" t="s">
        <v>45</v>
      </c>
      <c r="F48" s="20" t="s">
        <v>45</v>
      </c>
      <c r="G48" s="20" t="s">
        <v>46</v>
      </c>
    </row>
    <row r="49" spans="2:12" ht="15.75" customHeight="1">
      <c r="C49" s="19" t="s">
        <v>47</v>
      </c>
      <c r="D49" s="20" t="s">
        <v>48</v>
      </c>
      <c r="E49" s="20" t="s">
        <v>49</v>
      </c>
      <c r="F49" s="20" t="s">
        <v>49</v>
      </c>
      <c r="G49" s="20" t="s">
        <v>50</v>
      </c>
    </row>
    <row r="50" spans="2:12" ht="15.75" customHeight="1">
      <c r="C50" s="19" t="s">
        <v>51</v>
      </c>
      <c r="D50" s="20" t="s">
        <v>52</v>
      </c>
      <c r="E50" s="20" t="s">
        <v>53</v>
      </c>
      <c r="F50" s="20" t="s">
        <v>54</v>
      </c>
      <c r="G50" s="20" t="s">
        <v>55</v>
      </c>
    </row>
    <row r="51" spans="2:12" ht="15.75" customHeight="1"/>
    <row r="52" spans="2:12" ht="15.75" customHeight="1"/>
    <row r="53" spans="2:12" ht="15.75" customHeight="1">
      <c r="B53" s="3" t="s">
        <v>56</v>
      </c>
      <c r="C53" s="3" t="s">
        <v>57</v>
      </c>
      <c r="D53" s="3"/>
      <c r="E53" s="3"/>
      <c r="F53" s="3"/>
      <c r="G53" s="3"/>
      <c r="H53" s="3"/>
    </row>
    <row r="54" spans="2:12" ht="15.75" customHeight="1"/>
    <row r="55" spans="2:12" ht="15.75" customHeight="1">
      <c r="B55" s="3" t="s">
        <v>58</v>
      </c>
      <c r="C55" s="14" t="s">
        <v>59</v>
      </c>
      <c r="D55" s="14" t="s">
        <v>60</v>
      </c>
    </row>
    <row r="56" spans="2:12" ht="15.75" customHeight="1">
      <c r="C56" s="14" t="s">
        <v>61</v>
      </c>
      <c r="D56" s="15">
        <v>500000</v>
      </c>
    </row>
    <row r="57" spans="2:12" ht="15.75" customHeight="1">
      <c r="C57" s="14" t="s">
        <v>62</v>
      </c>
      <c r="D57" s="15">
        <v>10500</v>
      </c>
    </row>
    <row r="58" spans="2:12" ht="15.75" customHeight="1">
      <c r="C58" s="14" t="s">
        <v>63</v>
      </c>
      <c r="D58" s="15">
        <v>25000</v>
      </c>
    </row>
    <row r="59" spans="2:12" ht="15.75" customHeight="1"/>
    <row r="60" spans="2:12" ht="15.75" customHeight="1">
      <c r="C60" s="3" t="s">
        <v>64</v>
      </c>
      <c r="F60" s="2">
        <f>SUM(D56:D57)</f>
        <v>510500</v>
      </c>
    </row>
    <row r="61" spans="2:12" ht="15.75" customHeight="1">
      <c r="C61" s="3" t="s">
        <v>65</v>
      </c>
      <c r="D61" s="3"/>
      <c r="E61" s="3"/>
    </row>
    <row r="62" spans="2:12" ht="15.75" customHeight="1"/>
    <row r="63" spans="2:12" ht="15.75" customHeight="1"/>
    <row r="64" spans="2:12" ht="15.75" customHeight="1">
      <c r="B64" s="3" t="s">
        <v>66</v>
      </c>
      <c r="C64" s="3" t="s">
        <v>67</v>
      </c>
      <c r="D64" s="3"/>
      <c r="E64" s="3"/>
      <c r="F64" s="3"/>
      <c r="G64" s="3"/>
      <c r="H64" s="3"/>
      <c r="I64" s="3"/>
      <c r="J64" s="3"/>
      <c r="K64" s="3"/>
      <c r="L64" s="3" t="s">
        <v>68</v>
      </c>
    </row>
    <row r="65" spans="2:12" ht="15.75" customHeight="1"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2:12" ht="15.75" customHeight="1">
      <c r="B66" s="3" t="s">
        <v>58</v>
      </c>
      <c r="C66" s="14" t="s">
        <v>69</v>
      </c>
      <c r="D66" s="14" t="s">
        <v>60</v>
      </c>
      <c r="E66" s="14" t="s">
        <v>70</v>
      </c>
    </row>
    <row r="67" spans="2:12" ht="15.75" customHeight="1">
      <c r="C67" s="14" t="s">
        <v>71</v>
      </c>
      <c r="D67" s="14">
        <v>90</v>
      </c>
      <c r="E67" s="14">
        <v>1000</v>
      </c>
    </row>
    <row r="68" spans="2:12" ht="15.75" customHeight="1">
      <c r="C68" s="14" t="s">
        <v>72</v>
      </c>
      <c r="D68" s="14">
        <v>150</v>
      </c>
      <c r="E68" s="14">
        <v>1200</v>
      </c>
    </row>
    <row r="69" spans="2:12" ht="15.75" customHeight="1">
      <c r="C69" s="14" t="s">
        <v>73</v>
      </c>
      <c r="D69" s="14">
        <v>250</v>
      </c>
      <c r="E69" s="14">
        <v>1500</v>
      </c>
    </row>
    <row r="70" spans="2:12" ht="15.75" customHeight="1"/>
    <row r="71" spans="2:12" ht="15.75" customHeight="1">
      <c r="C71" s="3" t="s">
        <v>74</v>
      </c>
      <c r="F71" s="2">
        <f>AVERAGEIFS(E67:E69,D67:D69,"&gt;100",D67:D69,"&lt;300")</f>
        <v>1350</v>
      </c>
    </row>
    <row r="72" spans="2:12" ht="15.75" customHeight="1">
      <c r="C72" s="3" t="s">
        <v>75</v>
      </c>
    </row>
    <row r="73" spans="2:12" ht="15.75" customHeight="1">
      <c r="C73" s="3" t="s">
        <v>76</v>
      </c>
      <c r="D73" s="3"/>
      <c r="E73" s="3"/>
      <c r="F73" s="3"/>
    </row>
    <row r="74" spans="2:12" ht="15.75" customHeight="1"/>
    <row r="75" spans="2:12" ht="15.75" customHeight="1"/>
    <row r="76" spans="2:12" ht="15.75" customHeight="1"/>
    <row r="77" spans="2:12" ht="15.75" customHeight="1"/>
    <row r="78" spans="2:12" ht="15.75" customHeight="1"/>
    <row r="79" spans="2:12" ht="15.75" customHeight="1"/>
    <row r="80" spans="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O1"/>
  </mergeCells>
  <pageMargins left="0.25" right="0.2" top="0.25" bottom="0.25" header="0" footer="0"/>
  <pageSetup paperSize="9" fitToWidth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00"/>
  <sheetViews>
    <sheetView workbookViewId="0"/>
  </sheetViews>
  <sheetFormatPr defaultColWidth="12.625" defaultRowHeight="15" customHeight="1"/>
  <cols>
    <col min="1" max="1" width="10.625" customWidth="1"/>
    <col min="2" max="2" width="16.25" customWidth="1"/>
    <col min="3" max="26" width="8" customWidth="1"/>
  </cols>
  <sheetData>
    <row r="3" spans="1:2" ht="14.25">
      <c r="A3" s="32" t="s">
        <v>91</v>
      </c>
      <c r="B3" s="33" t="s">
        <v>92</v>
      </c>
    </row>
    <row r="4" spans="1:2" ht="14.25">
      <c r="A4" s="40" t="s">
        <v>93</v>
      </c>
      <c r="B4" s="35">
        <v>1928</v>
      </c>
    </row>
    <row r="5" spans="1:2" ht="14.25">
      <c r="A5" s="49" t="s">
        <v>94</v>
      </c>
      <c r="B5" s="37">
        <v>3650</v>
      </c>
    </row>
    <row r="6" spans="1:2" ht="14.25">
      <c r="A6" s="49" t="s">
        <v>95</v>
      </c>
      <c r="B6" s="37">
        <v>7550</v>
      </c>
    </row>
    <row r="7" spans="1:2" ht="14.25">
      <c r="A7" s="49" t="s">
        <v>96</v>
      </c>
      <c r="B7" s="37">
        <v>2180</v>
      </c>
    </row>
    <row r="8" spans="1:2" ht="14.25">
      <c r="A8" s="49" t="s">
        <v>97</v>
      </c>
      <c r="B8" s="37">
        <v>1235</v>
      </c>
    </row>
    <row r="9" spans="1:2" ht="14.25">
      <c r="A9" s="50" t="s">
        <v>98</v>
      </c>
      <c r="B9" s="39">
        <v>16543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00"/>
  <sheetViews>
    <sheetView workbookViewId="0"/>
  </sheetViews>
  <sheetFormatPr defaultColWidth="12.625" defaultRowHeight="15" customHeight="1"/>
  <cols>
    <col min="1" max="26" width="8" customWidth="1"/>
  </cols>
  <sheetData>
    <row r="3" spans="1:3" ht="14.25">
      <c r="A3" s="40"/>
      <c r="B3" s="41"/>
      <c r="C3" s="42"/>
    </row>
    <row r="4" spans="1:3" ht="14.25">
      <c r="A4" s="43"/>
      <c r="B4" s="44"/>
      <c r="C4" s="45"/>
    </row>
    <row r="5" spans="1:3" ht="14.25">
      <c r="A5" s="43"/>
      <c r="B5" s="44"/>
      <c r="C5" s="45"/>
    </row>
    <row r="6" spans="1:3" ht="14.25">
      <c r="A6" s="43"/>
      <c r="B6" s="44"/>
      <c r="C6" s="45"/>
    </row>
    <row r="7" spans="1:3" ht="14.25">
      <c r="A7" s="43"/>
      <c r="B7" s="44"/>
      <c r="C7" s="45"/>
    </row>
    <row r="8" spans="1:3" ht="14.25">
      <c r="A8" s="43"/>
      <c r="B8" s="44"/>
      <c r="C8" s="45"/>
    </row>
    <row r="9" spans="1:3" ht="14.25">
      <c r="A9" s="43"/>
      <c r="B9" s="44"/>
      <c r="C9" s="45"/>
    </row>
    <row r="10" spans="1:3" ht="14.25">
      <c r="A10" s="43"/>
      <c r="B10" s="44"/>
      <c r="C10" s="45"/>
    </row>
    <row r="11" spans="1:3" ht="14.25">
      <c r="A11" s="43"/>
      <c r="B11" s="44"/>
      <c r="C11" s="45"/>
    </row>
    <row r="12" spans="1:3" ht="14.25">
      <c r="A12" s="43"/>
      <c r="B12" s="44"/>
      <c r="C12" s="45"/>
    </row>
    <row r="13" spans="1:3" ht="14.25">
      <c r="A13" s="43"/>
      <c r="B13" s="44"/>
      <c r="C13" s="45"/>
    </row>
    <row r="14" spans="1:3" ht="14.25">
      <c r="A14" s="43"/>
      <c r="B14" s="44"/>
      <c r="C14" s="45"/>
    </row>
    <row r="15" spans="1:3" ht="14.25">
      <c r="A15" s="43"/>
      <c r="B15" s="44"/>
      <c r="C15" s="45"/>
    </row>
    <row r="16" spans="1:3" ht="14.25">
      <c r="A16" s="43"/>
      <c r="B16" s="44"/>
      <c r="C16" s="45"/>
    </row>
    <row r="17" spans="1:3" ht="14.25">
      <c r="A17" s="43"/>
      <c r="B17" s="44"/>
      <c r="C17" s="45"/>
    </row>
    <row r="18" spans="1:3" ht="14.25">
      <c r="A18" s="43"/>
      <c r="B18" s="44"/>
      <c r="C18" s="45"/>
    </row>
    <row r="19" spans="1:3" ht="14.25">
      <c r="A19" s="43"/>
      <c r="B19" s="44"/>
      <c r="C19" s="45"/>
    </row>
    <row r="20" spans="1:3" ht="14.25">
      <c r="A20" s="46"/>
      <c r="B20" s="47"/>
      <c r="C20" s="48"/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00"/>
  <sheetViews>
    <sheetView workbookViewId="0"/>
  </sheetViews>
  <sheetFormatPr defaultColWidth="12.625" defaultRowHeight="15" customHeight="1"/>
  <cols>
    <col min="1" max="26" width="8" customWidth="1"/>
  </cols>
  <sheetData>
    <row r="3" spans="1:3" ht="14.25">
      <c r="A3" s="40"/>
      <c r="B3" s="41"/>
      <c r="C3" s="42"/>
    </row>
    <row r="4" spans="1:3" ht="14.25">
      <c r="A4" s="43"/>
      <c r="B4" s="44"/>
      <c r="C4" s="45"/>
    </row>
    <row r="5" spans="1:3" ht="14.25">
      <c r="A5" s="43"/>
      <c r="B5" s="44"/>
      <c r="C5" s="45"/>
    </row>
    <row r="6" spans="1:3" ht="14.25">
      <c r="A6" s="43"/>
      <c r="B6" s="44"/>
      <c r="C6" s="45"/>
    </row>
    <row r="7" spans="1:3" ht="14.25">
      <c r="A7" s="43"/>
      <c r="B7" s="44"/>
      <c r="C7" s="45"/>
    </row>
    <row r="8" spans="1:3" ht="14.25">
      <c r="A8" s="43"/>
      <c r="B8" s="44"/>
      <c r="C8" s="45"/>
    </row>
    <row r="9" spans="1:3" ht="14.25">
      <c r="A9" s="43"/>
      <c r="B9" s="44"/>
      <c r="C9" s="45"/>
    </row>
    <row r="10" spans="1:3" ht="14.25">
      <c r="A10" s="43"/>
      <c r="B10" s="44"/>
      <c r="C10" s="45"/>
    </row>
    <row r="11" spans="1:3" ht="14.25">
      <c r="A11" s="43"/>
      <c r="B11" s="44"/>
      <c r="C11" s="45"/>
    </row>
    <row r="12" spans="1:3" ht="14.25">
      <c r="A12" s="43"/>
      <c r="B12" s="44"/>
      <c r="C12" s="45"/>
    </row>
    <row r="13" spans="1:3" ht="14.25">
      <c r="A13" s="43"/>
      <c r="B13" s="44"/>
      <c r="C13" s="45"/>
    </row>
    <row r="14" spans="1:3" ht="14.25">
      <c r="A14" s="43"/>
      <c r="B14" s="44"/>
      <c r="C14" s="45"/>
    </row>
    <row r="15" spans="1:3" ht="14.25">
      <c r="A15" s="43"/>
      <c r="B15" s="44"/>
      <c r="C15" s="45"/>
    </row>
    <row r="16" spans="1:3" ht="14.25">
      <c r="A16" s="43"/>
      <c r="B16" s="44"/>
      <c r="C16" s="45"/>
    </row>
    <row r="17" spans="1:3" ht="14.25">
      <c r="A17" s="43"/>
      <c r="B17" s="44"/>
      <c r="C17" s="45"/>
    </row>
    <row r="18" spans="1:3" ht="14.25">
      <c r="A18" s="43"/>
      <c r="B18" s="44"/>
      <c r="C18" s="45"/>
    </row>
    <row r="19" spans="1:3" ht="14.25">
      <c r="A19" s="43"/>
      <c r="B19" s="44"/>
      <c r="C19" s="45"/>
    </row>
    <row r="20" spans="1:3" ht="14.25">
      <c r="A20" s="46"/>
      <c r="B20" s="47"/>
      <c r="C20" s="48"/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00"/>
  <sheetViews>
    <sheetView workbookViewId="0"/>
  </sheetViews>
  <sheetFormatPr defaultColWidth="12.625" defaultRowHeight="15" customHeight="1"/>
  <cols>
    <col min="1" max="1" width="11.375" customWidth="1"/>
    <col min="2" max="2" width="16.25" customWidth="1"/>
    <col min="3" max="26" width="8" customWidth="1"/>
  </cols>
  <sheetData>
    <row r="3" spans="1:2" ht="14.25">
      <c r="A3" s="32" t="s">
        <v>99</v>
      </c>
      <c r="B3" s="33" t="s">
        <v>92</v>
      </c>
    </row>
    <row r="4" spans="1:2" ht="14.25">
      <c r="A4" s="34">
        <v>45296</v>
      </c>
      <c r="B4" s="35">
        <v>500</v>
      </c>
    </row>
    <row r="5" spans="1:2" ht="14.25">
      <c r="A5" s="36">
        <v>45297</v>
      </c>
      <c r="B5" s="37">
        <v>200</v>
      </c>
    </row>
    <row r="6" spans="1:2" ht="14.25">
      <c r="A6" s="36">
        <v>45298</v>
      </c>
      <c r="B6" s="37">
        <v>375</v>
      </c>
    </row>
    <row r="7" spans="1:2" ht="14.25">
      <c r="A7" s="36">
        <v>45299</v>
      </c>
      <c r="B7" s="37">
        <v>250</v>
      </c>
    </row>
    <row r="8" spans="1:2" ht="14.25">
      <c r="A8" s="36">
        <v>45301</v>
      </c>
      <c r="B8" s="37">
        <v>150</v>
      </c>
    </row>
    <row r="9" spans="1:2" ht="14.25">
      <c r="A9" s="36">
        <v>45302</v>
      </c>
      <c r="B9" s="37">
        <v>600</v>
      </c>
    </row>
    <row r="10" spans="1:2" ht="14.25">
      <c r="A10" s="36">
        <v>45304</v>
      </c>
      <c r="B10" s="37">
        <v>200</v>
      </c>
    </row>
    <row r="11" spans="1:2" ht="14.25">
      <c r="A11" s="36">
        <v>45306</v>
      </c>
      <c r="B11" s="37">
        <v>180</v>
      </c>
    </row>
    <row r="12" spans="1:2" ht="14.25">
      <c r="A12" s="36">
        <v>45308</v>
      </c>
      <c r="B12" s="37">
        <v>550</v>
      </c>
    </row>
    <row r="13" spans="1:2" ht="14.25">
      <c r="A13" s="36">
        <v>45309</v>
      </c>
      <c r="B13" s="37">
        <v>400</v>
      </c>
    </row>
    <row r="14" spans="1:2" ht="14.25">
      <c r="A14" s="36">
        <v>45310</v>
      </c>
      <c r="B14" s="37">
        <v>200</v>
      </c>
    </row>
    <row r="15" spans="1:2" ht="14.25">
      <c r="A15" s="36">
        <v>45311</v>
      </c>
      <c r="B15" s="37">
        <v>280</v>
      </c>
    </row>
    <row r="16" spans="1:2" ht="14.25">
      <c r="A16" s="36">
        <v>45313</v>
      </c>
      <c r="B16" s="37">
        <v>700</v>
      </c>
    </row>
    <row r="17" spans="1:2" ht="14.25">
      <c r="A17" s="36">
        <v>45314</v>
      </c>
      <c r="B17" s="37">
        <v>280</v>
      </c>
    </row>
    <row r="18" spans="1:2" ht="14.25">
      <c r="A18" s="36">
        <v>45315</v>
      </c>
      <c r="B18" s="37">
        <v>300</v>
      </c>
    </row>
    <row r="19" spans="1:2" ht="14.25">
      <c r="A19" s="36">
        <v>45317</v>
      </c>
      <c r="B19" s="37">
        <v>125</v>
      </c>
    </row>
    <row r="20" spans="1:2" ht="14.25">
      <c r="A20" s="36">
        <v>45319</v>
      </c>
      <c r="B20" s="37">
        <v>160</v>
      </c>
    </row>
    <row r="21" spans="1:2" ht="15.75" customHeight="1">
      <c r="A21" s="36">
        <v>45320</v>
      </c>
      <c r="B21" s="37">
        <v>500</v>
      </c>
    </row>
    <row r="22" spans="1:2" ht="15.75" customHeight="1">
      <c r="A22" s="36">
        <v>45321</v>
      </c>
      <c r="B22" s="37">
        <v>150</v>
      </c>
    </row>
    <row r="23" spans="1:2" ht="15.75" customHeight="1">
      <c r="A23" s="36">
        <v>45323</v>
      </c>
      <c r="B23" s="37">
        <v>450</v>
      </c>
    </row>
    <row r="24" spans="1:2" ht="15.75" customHeight="1">
      <c r="A24" s="36">
        <v>45324</v>
      </c>
      <c r="B24" s="37">
        <v>450</v>
      </c>
    </row>
    <row r="25" spans="1:2" ht="15.75" customHeight="1">
      <c r="A25" s="36">
        <v>45325</v>
      </c>
      <c r="B25" s="37">
        <v>175</v>
      </c>
    </row>
    <row r="26" spans="1:2" ht="15.75" customHeight="1">
      <c r="A26" s="36">
        <v>45326</v>
      </c>
      <c r="B26" s="37">
        <v>240</v>
      </c>
    </row>
    <row r="27" spans="1:2" ht="15.75" customHeight="1">
      <c r="A27" s="36">
        <v>45328</v>
      </c>
      <c r="B27" s="37">
        <v>550</v>
      </c>
    </row>
    <row r="28" spans="1:2" ht="15.75" customHeight="1">
      <c r="A28" s="36">
        <v>45329</v>
      </c>
      <c r="B28" s="37">
        <v>140</v>
      </c>
    </row>
    <row r="29" spans="1:2" ht="15.75" customHeight="1">
      <c r="A29" s="36">
        <v>45330</v>
      </c>
      <c r="B29" s="37">
        <v>400</v>
      </c>
    </row>
    <row r="30" spans="1:2" ht="15.75" customHeight="1">
      <c r="A30" s="36">
        <v>45331</v>
      </c>
      <c r="B30" s="37">
        <v>110</v>
      </c>
    </row>
    <row r="31" spans="1:2" ht="15.75" customHeight="1">
      <c r="A31" s="36">
        <v>45332</v>
      </c>
      <c r="B31" s="37">
        <v>216</v>
      </c>
    </row>
    <row r="32" spans="1:2" ht="15.75" customHeight="1">
      <c r="A32" s="36">
        <v>45334</v>
      </c>
      <c r="B32" s="37">
        <v>650</v>
      </c>
    </row>
    <row r="33" spans="1:2" ht="15.75" customHeight="1">
      <c r="A33" s="36">
        <v>45335</v>
      </c>
      <c r="B33" s="37">
        <v>320</v>
      </c>
    </row>
    <row r="34" spans="1:2" ht="15.75" customHeight="1">
      <c r="A34" s="36">
        <v>45336</v>
      </c>
      <c r="B34" s="37">
        <v>250</v>
      </c>
    </row>
    <row r="35" spans="1:2" ht="15.75" customHeight="1">
      <c r="A35" s="36">
        <v>45338</v>
      </c>
      <c r="B35" s="37">
        <v>90</v>
      </c>
    </row>
    <row r="36" spans="1:2" ht="15.75" customHeight="1">
      <c r="A36" s="36">
        <v>45339</v>
      </c>
      <c r="B36" s="37">
        <v>176</v>
      </c>
    </row>
    <row r="37" spans="1:2" ht="15.75" customHeight="1">
      <c r="A37" s="36">
        <v>45340</v>
      </c>
      <c r="B37" s="37">
        <v>850</v>
      </c>
    </row>
    <row r="38" spans="1:2" ht="15.75" customHeight="1">
      <c r="A38" s="36">
        <v>45341</v>
      </c>
      <c r="B38" s="37">
        <v>190</v>
      </c>
    </row>
    <row r="39" spans="1:2" ht="15.75" customHeight="1">
      <c r="A39" s="36">
        <v>45343</v>
      </c>
      <c r="B39" s="37">
        <v>375</v>
      </c>
    </row>
    <row r="40" spans="1:2" ht="15.75" customHeight="1">
      <c r="A40" s="36">
        <v>45344</v>
      </c>
      <c r="B40" s="37">
        <v>140</v>
      </c>
    </row>
    <row r="41" spans="1:2" ht="15.75" customHeight="1">
      <c r="A41" s="36">
        <v>45345</v>
      </c>
      <c r="B41" s="37">
        <v>192</v>
      </c>
    </row>
    <row r="42" spans="1:2" ht="15.75" customHeight="1">
      <c r="A42" s="36">
        <v>45347</v>
      </c>
      <c r="B42" s="37">
        <v>800</v>
      </c>
    </row>
    <row r="43" spans="1:2" ht="15.75" customHeight="1">
      <c r="A43" s="36">
        <v>45348</v>
      </c>
      <c r="B43" s="37">
        <v>270</v>
      </c>
    </row>
    <row r="44" spans="1:2" ht="15.75" customHeight="1">
      <c r="A44" s="36">
        <v>45349</v>
      </c>
      <c r="B44" s="37">
        <v>525</v>
      </c>
    </row>
    <row r="45" spans="1:2" ht="15.75" customHeight="1">
      <c r="A45" s="36">
        <v>45350</v>
      </c>
      <c r="B45" s="37">
        <v>150</v>
      </c>
    </row>
    <row r="46" spans="1:2" ht="15.75" customHeight="1">
      <c r="A46" s="36">
        <v>45352</v>
      </c>
      <c r="B46" s="37">
        <v>208</v>
      </c>
    </row>
    <row r="47" spans="1:2" ht="15.75" customHeight="1">
      <c r="A47" s="36">
        <v>45353</v>
      </c>
      <c r="B47" s="37">
        <v>700</v>
      </c>
    </row>
    <row r="48" spans="1:2" ht="15.75" customHeight="1">
      <c r="A48" s="36">
        <v>45354</v>
      </c>
      <c r="B48" s="37">
        <v>200</v>
      </c>
    </row>
    <row r="49" spans="1:2" ht="15.75" customHeight="1">
      <c r="A49" s="36">
        <v>45355</v>
      </c>
      <c r="B49" s="37">
        <v>425</v>
      </c>
    </row>
    <row r="50" spans="1:2" ht="15.75" customHeight="1">
      <c r="A50" s="36">
        <v>45356</v>
      </c>
      <c r="B50" s="37">
        <v>95</v>
      </c>
    </row>
    <row r="51" spans="1:2" ht="15.75" customHeight="1">
      <c r="A51" s="36">
        <v>45357</v>
      </c>
      <c r="B51" s="37">
        <v>256</v>
      </c>
    </row>
    <row r="52" spans="1:2" ht="15.75" customHeight="1">
      <c r="A52" s="36">
        <v>45358</v>
      </c>
      <c r="B52" s="37">
        <v>600</v>
      </c>
    </row>
    <row r="53" spans="1:2" ht="15.75" customHeight="1">
      <c r="A53" s="36">
        <v>45359</v>
      </c>
      <c r="B53" s="37">
        <v>250</v>
      </c>
    </row>
    <row r="54" spans="1:2" ht="15.75" customHeight="1">
      <c r="A54" s="38" t="s">
        <v>98</v>
      </c>
      <c r="B54" s="39">
        <v>16543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tabSelected="1" topLeftCell="E19" workbookViewId="0">
      <selection activeCell="W38" sqref="W38"/>
    </sheetView>
  </sheetViews>
  <sheetFormatPr defaultColWidth="12.625" defaultRowHeight="15" customHeight="1"/>
  <cols>
    <col min="1" max="1" width="7" customWidth="1"/>
    <col min="2" max="2" width="13.125" customWidth="1"/>
    <col min="3" max="3" width="6.25" customWidth="1"/>
    <col min="4" max="4" width="8.625" customWidth="1"/>
    <col min="5" max="5" width="7.625" customWidth="1"/>
    <col min="6" max="6" width="8.125" customWidth="1"/>
    <col min="7" max="8" width="9" customWidth="1"/>
    <col min="9" max="9" width="8.75" customWidth="1"/>
    <col min="10" max="10" width="7.5" customWidth="1"/>
    <col min="11" max="11" width="12.875" customWidth="1"/>
    <col min="12" max="26" width="7.125" customWidth="1"/>
  </cols>
  <sheetData>
    <row r="1" spans="1:16" ht="16.5" customHeight="1">
      <c r="A1" s="23" t="s">
        <v>100</v>
      </c>
      <c r="B1" s="23" t="s">
        <v>101</v>
      </c>
      <c r="C1" s="23" t="s">
        <v>102</v>
      </c>
      <c r="D1" s="23" t="s">
        <v>91</v>
      </c>
      <c r="E1" s="23" t="s">
        <v>103</v>
      </c>
      <c r="F1" s="23" t="s">
        <v>104</v>
      </c>
      <c r="G1" s="23" t="s">
        <v>99</v>
      </c>
      <c r="H1" s="24" t="s">
        <v>105</v>
      </c>
      <c r="I1" s="24"/>
    </row>
    <row r="2" spans="1:16" ht="16.5" customHeight="1">
      <c r="A2" s="25">
        <v>1001</v>
      </c>
      <c r="B2" s="26" t="s">
        <v>106</v>
      </c>
      <c r="C2" s="26" t="s">
        <v>107</v>
      </c>
      <c r="D2" s="26" t="s">
        <v>95</v>
      </c>
      <c r="E2" s="25">
        <v>10</v>
      </c>
      <c r="F2" s="25">
        <v>50</v>
      </c>
      <c r="G2" s="27">
        <v>45296</v>
      </c>
      <c r="H2" s="2">
        <f t="shared" ref="H2:H51" si="0">E2*F2</f>
        <v>500</v>
      </c>
      <c r="J2" s="28" t="s">
        <v>108</v>
      </c>
      <c r="K2" s="3" t="s">
        <v>109</v>
      </c>
      <c r="L2" s="3"/>
      <c r="M2" s="3"/>
      <c r="N2" s="3"/>
      <c r="O2" s="3"/>
    </row>
    <row r="3" spans="1:16" ht="16.5" customHeight="1">
      <c r="A3" s="25">
        <v>1002</v>
      </c>
      <c r="B3" s="26" t="s">
        <v>110</v>
      </c>
      <c r="C3" s="26" t="s">
        <v>111</v>
      </c>
      <c r="D3" s="26" t="s">
        <v>96</v>
      </c>
      <c r="E3" s="25">
        <v>20</v>
      </c>
      <c r="F3" s="25">
        <v>10</v>
      </c>
      <c r="G3" s="27">
        <v>45297</v>
      </c>
      <c r="H3" s="2">
        <f t="shared" si="0"/>
        <v>200</v>
      </c>
      <c r="J3" s="28" t="s">
        <v>112</v>
      </c>
      <c r="K3" s="28" t="s">
        <v>113</v>
      </c>
      <c r="L3" s="3">
        <f>COUNTA(B2:B51)</f>
        <v>50</v>
      </c>
      <c r="M3" s="3" t="s">
        <v>114</v>
      </c>
    </row>
    <row r="4" spans="1:16" ht="16.5" customHeight="1">
      <c r="A4" s="25">
        <v>1003</v>
      </c>
      <c r="B4" s="26" t="s">
        <v>115</v>
      </c>
      <c r="C4" s="26" t="s">
        <v>116</v>
      </c>
      <c r="D4" s="26" t="s">
        <v>94</v>
      </c>
      <c r="E4" s="25">
        <v>15</v>
      </c>
      <c r="F4" s="25">
        <v>25</v>
      </c>
      <c r="G4" s="27">
        <v>45298</v>
      </c>
      <c r="H4" s="2">
        <f t="shared" si="0"/>
        <v>375</v>
      </c>
      <c r="K4" s="3" t="s">
        <v>117</v>
      </c>
    </row>
    <row r="5" spans="1:16" ht="16.5" customHeight="1">
      <c r="A5" s="25">
        <v>1004</v>
      </c>
      <c r="B5" s="26" t="s">
        <v>118</v>
      </c>
      <c r="C5" s="26" t="s">
        <v>119</v>
      </c>
      <c r="D5" s="26" t="s">
        <v>95</v>
      </c>
      <c r="E5" s="25">
        <v>5</v>
      </c>
      <c r="F5" s="25">
        <v>50</v>
      </c>
      <c r="G5" s="27">
        <v>45299</v>
      </c>
      <c r="H5" s="2">
        <f t="shared" si="0"/>
        <v>250</v>
      </c>
    </row>
    <row r="6" spans="1:16" ht="16.5" customHeight="1">
      <c r="A6" s="25">
        <v>1005</v>
      </c>
      <c r="B6" s="26" t="s">
        <v>120</v>
      </c>
      <c r="C6" s="26" t="s">
        <v>107</v>
      </c>
      <c r="D6" s="26" t="s">
        <v>97</v>
      </c>
      <c r="E6" s="25">
        <v>30</v>
      </c>
      <c r="F6" s="25">
        <v>5</v>
      </c>
      <c r="G6" s="27">
        <v>45301</v>
      </c>
      <c r="H6" s="2">
        <f t="shared" si="0"/>
        <v>150</v>
      </c>
      <c r="J6" s="3" t="s">
        <v>121</v>
      </c>
      <c r="K6" s="3" t="s">
        <v>122</v>
      </c>
      <c r="L6" s="3"/>
      <c r="M6" s="3"/>
      <c r="N6" s="3"/>
      <c r="O6" s="3"/>
    </row>
    <row r="7" spans="1:16" ht="16.5" customHeight="1">
      <c r="A7" s="25">
        <v>1006</v>
      </c>
      <c r="B7" s="26" t="s">
        <v>123</v>
      </c>
      <c r="C7" s="26" t="s">
        <v>111</v>
      </c>
      <c r="D7" s="26" t="s">
        <v>95</v>
      </c>
      <c r="E7" s="25">
        <v>12</v>
      </c>
      <c r="F7" s="25">
        <v>50</v>
      </c>
      <c r="G7" s="27">
        <v>45302</v>
      </c>
      <c r="H7" s="2">
        <f t="shared" si="0"/>
        <v>600</v>
      </c>
      <c r="J7" s="3" t="s">
        <v>124</v>
      </c>
      <c r="K7" s="3" t="s">
        <v>125</v>
      </c>
      <c r="L7" s="3">
        <f>SUMPRODUCT(E2:E51,F2:F51)</f>
        <v>16543</v>
      </c>
      <c r="M7" s="3" t="s">
        <v>126</v>
      </c>
      <c r="N7" s="3"/>
    </row>
    <row r="8" spans="1:16" ht="16.5" customHeight="1">
      <c r="A8" s="25">
        <v>1007</v>
      </c>
      <c r="B8" s="26" t="s">
        <v>127</v>
      </c>
      <c r="C8" s="26" t="s">
        <v>116</v>
      </c>
      <c r="D8" s="26" t="s">
        <v>93</v>
      </c>
      <c r="E8" s="25">
        <v>25</v>
      </c>
      <c r="F8" s="25">
        <v>8</v>
      </c>
      <c r="G8" s="27">
        <v>45304</v>
      </c>
      <c r="H8" s="2">
        <f t="shared" si="0"/>
        <v>200</v>
      </c>
      <c r="K8" s="3" t="s">
        <v>128</v>
      </c>
      <c r="L8" s="3"/>
      <c r="M8" s="3"/>
      <c r="N8" s="3"/>
    </row>
    <row r="9" spans="1:16" ht="16.5" customHeight="1">
      <c r="A9" s="25">
        <v>1008</v>
      </c>
      <c r="B9" s="26" t="s">
        <v>129</v>
      </c>
      <c r="C9" s="26" t="s">
        <v>119</v>
      </c>
      <c r="D9" s="26" t="s">
        <v>96</v>
      </c>
      <c r="E9" s="25">
        <v>18</v>
      </c>
      <c r="F9" s="25">
        <v>10</v>
      </c>
      <c r="G9" s="27">
        <v>45306</v>
      </c>
      <c r="H9" s="2">
        <f t="shared" si="0"/>
        <v>180</v>
      </c>
    </row>
    <row r="10" spans="1:16" ht="16.5" customHeight="1">
      <c r="A10" s="25">
        <v>1009</v>
      </c>
      <c r="B10" s="26" t="s">
        <v>130</v>
      </c>
      <c r="C10" s="26" t="s">
        <v>107</v>
      </c>
      <c r="D10" s="26" t="s">
        <v>94</v>
      </c>
      <c r="E10" s="25">
        <v>22</v>
      </c>
      <c r="F10" s="25">
        <v>25</v>
      </c>
      <c r="G10" s="27">
        <v>45308</v>
      </c>
      <c r="H10" s="2">
        <f t="shared" si="0"/>
        <v>550</v>
      </c>
      <c r="J10" s="3" t="s">
        <v>131</v>
      </c>
      <c r="K10" s="3" t="s">
        <v>132</v>
      </c>
      <c r="L10" s="3"/>
      <c r="M10" s="3"/>
      <c r="N10" s="3"/>
      <c r="O10" s="3"/>
      <c r="P10" s="3"/>
    </row>
    <row r="11" spans="1:16" ht="16.5" customHeight="1">
      <c r="A11" s="25">
        <v>1010</v>
      </c>
      <c r="B11" s="26" t="s">
        <v>133</v>
      </c>
      <c r="C11" s="26" t="s">
        <v>111</v>
      </c>
      <c r="D11" s="26" t="s">
        <v>95</v>
      </c>
      <c r="E11" s="25">
        <v>8</v>
      </c>
      <c r="F11" s="25">
        <v>50</v>
      </c>
      <c r="G11" s="27">
        <v>45309</v>
      </c>
      <c r="H11" s="2">
        <f t="shared" si="0"/>
        <v>400</v>
      </c>
      <c r="J11" s="3" t="s">
        <v>112</v>
      </c>
      <c r="K11" s="3">
        <f>SUMIFS(H2:H51,C2:C51,C2,D2:D51,D2)</f>
        <v>2900</v>
      </c>
      <c r="L11" s="3" t="s">
        <v>134</v>
      </c>
      <c r="M11" s="3"/>
      <c r="N11" s="3"/>
      <c r="O11" s="3"/>
      <c r="P11" s="3"/>
    </row>
    <row r="12" spans="1:16" ht="16.5" customHeight="1">
      <c r="A12" s="25">
        <v>1011</v>
      </c>
      <c r="B12" s="26" t="s">
        <v>135</v>
      </c>
      <c r="C12" s="26" t="s">
        <v>116</v>
      </c>
      <c r="D12" s="26" t="s">
        <v>97</v>
      </c>
      <c r="E12" s="25">
        <v>40</v>
      </c>
      <c r="F12" s="25">
        <v>5</v>
      </c>
      <c r="G12" s="27">
        <v>45310</v>
      </c>
      <c r="H12" s="2">
        <f t="shared" si="0"/>
        <v>200</v>
      </c>
      <c r="K12" s="3" t="s">
        <v>136</v>
      </c>
    </row>
    <row r="13" spans="1:16" ht="16.5" customHeight="1">
      <c r="A13" s="25">
        <v>1012</v>
      </c>
      <c r="B13" s="26" t="s">
        <v>137</v>
      </c>
      <c r="C13" s="26" t="s">
        <v>119</v>
      </c>
      <c r="D13" s="26" t="s">
        <v>93</v>
      </c>
      <c r="E13" s="25">
        <v>35</v>
      </c>
      <c r="F13" s="25">
        <v>8</v>
      </c>
      <c r="G13" s="27">
        <v>45311</v>
      </c>
      <c r="H13" s="2">
        <f t="shared" si="0"/>
        <v>280</v>
      </c>
      <c r="J13" s="3"/>
    </row>
    <row r="14" spans="1:16" ht="16.5" customHeight="1">
      <c r="A14" s="25">
        <v>1013</v>
      </c>
      <c r="B14" s="26" t="s">
        <v>138</v>
      </c>
      <c r="C14" s="26" t="s">
        <v>107</v>
      </c>
      <c r="D14" s="26" t="s">
        <v>95</v>
      </c>
      <c r="E14" s="25">
        <v>14</v>
      </c>
      <c r="F14" s="25">
        <v>50</v>
      </c>
      <c r="G14" s="27">
        <v>45313</v>
      </c>
      <c r="H14" s="2">
        <f t="shared" si="0"/>
        <v>700</v>
      </c>
      <c r="J14" s="3" t="s">
        <v>139</v>
      </c>
      <c r="K14" s="3" t="s">
        <v>140</v>
      </c>
      <c r="L14" s="3"/>
      <c r="M14" s="3"/>
      <c r="N14" s="3"/>
      <c r="O14" s="3"/>
    </row>
    <row r="15" spans="1:16" ht="16.5" customHeight="1">
      <c r="A15" s="25">
        <v>1014</v>
      </c>
      <c r="B15" s="26" t="s">
        <v>141</v>
      </c>
      <c r="C15" s="26" t="s">
        <v>111</v>
      </c>
      <c r="D15" s="26" t="s">
        <v>96</v>
      </c>
      <c r="E15" s="25">
        <v>28</v>
      </c>
      <c r="F15" s="25">
        <v>10</v>
      </c>
      <c r="G15" s="27">
        <v>45314</v>
      </c>
      <c r="H15" s="2">
        <f t="shared" si="0"/>
        <v>280</v>
      </c>
    </row>
    <row r="16" spans="1:16" ht="16.5" customHeight="1">
      <c r="A16" s="25">
        <v>1015</v>
      </c>
      <c r="B16" s="26" t="s">
        <v>142</v>
      </c>
      <c r="C16" s="26" t="s">
        <v>116</v>
      </c>
      <c r="D16" s="26" t="s">
        <v>94</v>
      </c>
      <c r="E16" s="25">
        <v>12</v>
      </c>
      <c r="F16" s="25">
        <v>25</v>
      </c>
      <c r="G16" s="27">
        <v>45315</v>
      </c>
      <c r="H16" s="2">
        <f t="shared" si="0"/>
        <v>300</v>
      </c>
      <c r="J16" s="3" t="s">
        <v>143</v>
      </c>
      <c r="K16" s="23" t="s">
        <v>91</v>
      </c>
      <c r="L16" s="3" t="s">
        <v>105</v>
      </c>
      <c r="M16" s="3"/>
    </row>
    <row r="17" spans="1:12" ht="16.5" customHeight="1">
      <c r="A17" s="25">
        <v>1016</v>
      </c>
      <c r="B17" s="26" t="s">
        <v>144</v>
      </c>
      <c r="C17" s="26" t="s">
        <v>119</v>
      </c>
      <c r="D17" s="26" t="s">
        <v>97</v>
      </c>
      <c r="E17" s="25">
        <v>25</v>
      </c>
      <c r="F17" s="25">
        <v>5</v>
      </c>
      <c r="G17" s="27">
        <v>45317</v>
      </c>
      <c r="H17" s="2">
        <f t="shared" si="0"/>
        <v>125</v>
      </c>
      <c r="K17" s="26" t="s">
        <v>95</v>
      </c>
      <c r="L17" s="2">
        <f>SUMIF(D1:D51,D2,H1:H51)</f>
        <v>7550</v>
      </c>
    </row>
    <row r="18" spans="1:12" ht="16.5" customHeight="1">
      <c r="A18" s="25">
        <v>1017</v>
      </c>
      <c r="B18" s="26" t="s">
        <v>145</v>
      </c>
      <c r="C18" s="26" t="s">
        <v>107</v>
      </c>
      <c r="D18" s="26" t="s">
        <v>93</v>
      </c>
      <c r="E18" s="25">
        <v>20</v>
      </c>
      <c r="F18" s="25">
        <v>8</v>
      </c>
      <c r="G18" s="27">
        <v>45319</v>
      </c>
      <c r="H18" s="2">
        <f t="shared" si="0"/>
        <v>160</v>
      </c>
      <c r="K18" s="26" t="s">
        <v>96</v>
      </c>
      <c r="L18" s="2">
        <f>SUMIF(D1:D51,D3,H1:H51)</f>
        <v>2180</v>
      </c>
    </row>
    <row r="19" spans="1:12" ht="16.5" customHeight="1">
      <c r="A19" s="25">
        <v>1018</v>
      </c>
      <c r="B19" s="26" t="s">
        <v>146</v>
      </c>
      <c r="C19" s="26" t="s">
        <v>111</v>
      </c>
      <c r="D19" s="26" t="s">
        <v>95</v>
      </c>
      <c r="E19" s="25">
        <v>10</v>
      </c>
      <c r="F19" s="25">
        <v>50</v>
      </c>
      <c r="G19" s="27">
        <v>45320</v>
      </c>
      <c r="H19" s="2">
        <f t="shared" si="0"/>
        <v>500</v>
      </c>
      <c r="K19" s="26" t="s">
        <v>94</v>
      </c>
      <c r="L19" s="2">
        <f ca="1">SUMIF(D1:D51,D4,H1:H50)</f>
        <v>3650</v>
      </c>
    </row>
    <row r="20" spans="1:12" ht="16.5" customHeight="1">
      <c r="A20" s="25">
        <v>1019</v>
      </c>
      <c r="B20" s="26" t="s">
        <v>147</v>
      </c>
      <c r="C20" s="26" t="s">
        <v>116</v>
      </c>
      <c r="D20" s="26" t="s">
        <v>96</v>
      </c>
      <c r="E20" s="25">
        <v>15</v>
      </c>
      <c r="F20" s="25">
        <v>10</v>
      </c>
      <c r="G20" s="27">
        <v>45321</v>
      </c>
      <c r="H20" s="2">
        <f t="shared" si="0"/>
        <v>150</v>
      </c>
      <c r="K20" s="26" t="s">
        <v>97</v>
      </c>
      <c r="L20" s="2">
        <f>SUMIF(D1:D51,D6,H1:H51)</f>
        <v>1235</v>
      </c>
    </row>
    <row r="21" spans="1:12" ht="16.5" customHeight="1">
      <c r="A21" s="25">
        <v>1020</v>
      </c>
      <c r="B21" s="26" t="s">
        <v>148</v>
      </c>
      <c r="C21" s="26" t="s">
        <v>119</v>
      </c>
      <c r="D21" s="26" t="s">
        <v>94</v>
      </c>
      <c r="E21" s="25">
        <v>18</v>
      </c>
      <c r="F21" s="25">
        <v>25</v>
      </c>
      <c r="G21" s="27">
        <v>45323</v>
      </c>
      <c r="H21" s="2">
        <f t="shared" si="0"/>
        <v>450</v>
      </c>
      <c r="K21" s="26" t="s">
        <v>93</v>
      </c>
      <c r="L21" s="2">
        <f>SUMIF(D1:D51,D8,H1:H51)</f>
        <v>1928</v>
      </c>
    </row>
    <row r="22" spans="1:12" ht="16.5" customHeight="1">
      <c r="A22" s="25">
        <v>1021</v>
      </c>
      <c r="B22" s="26" t="s">
        <v>149</v>
      </c>
      <c r="C22" s="26" t="s">
        <v>107</v>
      </c>
      <c r="D22" s="26" t="s">
        <v>95</v>
      </c>
      <c r="E22" s="25">
        <v>9</v>
      </c>
      <c r="F22" s="25">
        <v>50</v>
      </c>
      <c r="G22" s="27">
        <v>45324</v>
      </c>
      <c r="H22" s="2">
        <f t="shared" si="0"/>
        <v>450</v>
      </c>
      <c r="K22" s="2" t="s">
        <v>98</v>
      </c>
      <c r="L22" s="29">
        <f ca="1">SUM(L17:L21)</f>
        <v>16543</v>
      </c>
    </row>
    <row r="23" spans="1:12" ht="16.5" customHeight="1">
      <c r="A23" s="25">
        <v>1022</v>
      </c>
      <c r="B23" s="26" t="s">
        <v>150</v>
      </c>
      <c r="C23" s="26" t="s">
        <v>111</v>
      </c>
      <c r="D23" s="26" t="s">
        <v>97</v>
      </c>
      <c r="E23" s="25">
        <v>35</v>
      </c>
      <c r="F23" s="25">
        <v>5</v>
      </c>
      <c r="G23" s="27">
        <v>45325</v>
      </c>
      <c r="H23" s="2">
        <f t="shared" si="0"/>
        <v>175</v>
      </c>
    </row>
    <row r="24" spans="1:12" ht="16.5" customHeight="1">
      <c r="A24" s="25">
        <v>1023</v>
      </c>
      <c r="B24" s="26" t="s">
        <v>151</v>
      </c>
      <c r="C24" s="26" t="s">
        <v>116</v>
      </c>
      <c r="D24" s="26" t="s">
        <v>93</v>
      </c>
      <c r="E24" s="25">
        <v>30</v>
      </c>
      <c r="F24" s="25">
        <v>8</v>
      </c>
      <c r="G24" s="27">
        <v>45326</v>
      </c>
      <c r="H24" s="2">
        <f t="shared" si="0"/>
        <v>240</v>
      </c>
    </row>
    <row r="25" spans="1:12" ht="16.5" customHeight="1">
      <c r="A25" s="25">
        <v>1024</v>
      </c>
      <c r="B25" s="26" t="s">
        <v>152</v>
      </c>
      <c r="C25" s="26" t="s">
        <v>119</v>
      </c>
      <c r="D25" s="26" t="s">
        <v>95</v>
      </c>
      <c r="E25" s="25">
        <v>11</v>
      </c>
      <c r="F25" s="25">
        <v>50</v>
      </c>
      <c r="G25" s="27">
        <v>45328</v>
      </c>
      <c r="H25" s="2">
        <f t="shared" si="0"/>
        <v>550</v>
      </c>
    </row>
    <row r="26" spans="1:12" ht="16.5" customHeight="1">
      <c r="A26" s="25">
        <v>1025</v>
      </c>
      <c r="B26" s="26" t="s">
        <v>153</v>
      </c>
      <c r="C26" s="26" t="s">
        <v>107</v>
      </c>
      <c r="D26" s="26" t="s">
        <v>96</v>
      </c>
      <c r="E26" s="25">
        <v>14</v>
      </c>
      <c r="F26" s="25">
        <v>10</v>
      </c>
      <c r="G26" s="27">
        <v>45329</v>
      </c>
      <c r="H26" s="2">
        <f t="shared" si="0"/>
        <v>140</v>
      </c>
    </row>
    <row r="27" spans="1:12" ht="16.5" customHeight="1">
      <c r="A27" s="25">
        <v>1026</v>
      </c>
      <c r="B27" s="26" t="s">
        <v>154</v>
      </c>
      <c r="C27" s="26" t="s">
        <v>111</v>
      </c>
      <c r="D27" s="26" t="s">
        <v>94</v>
      </c>
      <c r="E27" s="25">
        <v>16</v>
      </c>
      <c r="F27" s="25">
        <v>25</v>
      </c>
      <c r="G27" s="27">
        <v>45330</v>
      </c>
      <c r="H27" s="2">
        <f t="shared" si="0"/>
        <v>400</v>
      </c>
    </row>
    <row r="28" spans="1:12" ht="16.5" customHeight="1">
      <c r="A28" s="25">
        <v>1027</v>
      </c>
      <c r="B28" s="26" t="s">
        <v>155</v>
      </c>
      <c r="C28" s="26" t="s">
        <v>116</v>
      </c>
      <c r="D28" s="26" t="s">
        <v>97</v>
      </c>
      <c r="E28" s="25">
        <v>22</v>
      </c>
      <c r="F28" s="25">
        <v>5</v>
      </c>
      <c r="G28" s="27">
        <v>45331</v>
      </c>
      <c r="H28" s="2">
        <f t="shared" si="0"/>
        <v>110</v>
      </c>
    </row>
    <row r="29" spans="1:12" ht="16.5" customHeight="1">
      <c r="A29" s="25">
        <v>1028</v>
      </c>
      <c r="B29" s="26" t="s">
        <v>156</v>
      </c>
      <c r="C29" s="26" t="s">
        <v>119</v>
      </c>
      <c r="D29" s="26" t="s">
        <v>93</v>
      </c>
      <c r="E29" s="25">
        <v>27</v>
      </c>
      <c r="F29" s="25">
        <v>8</v>
      </c>
      <c r="G29" s="27">
        <v>45332</v>
      </c>
      <c r="H29" s="2">
        <f t="shared" si="0"/>
        <v>216</v>
      </c>
    </row>
    <row r="30" spans="1:12" ht="16.5" customHeight="1">
      <c r="A30" s="25">
        <v>1029</v>
      </c>
      <c r="B30" s="26" t="s">
        <v>157</v>
      </c>
      <c r="C30" s="26" t="s">
        <v>107</v>
      </c>
      <c r="D30" s="26" t="s">
        <v>95</v>
      </c>
      <c r="E30" s="25">
        <v>13</v>
      </c>
      <c r="F30" s="25">
        <v>50</v>
      </c>
      <c r="G30" s="27">
        <v>45334</v>
      </c>
      <c r="H30" s="2">
        <f t="shared" si="0"/>
        <v>650</v>
      </c>
    </row>
    <row r="31" spans="1:12" ht="16.5" customHeight="1">
      <c r="A31" s="25">
        <v>1030</v>
      </c>
      <c r="B31" s="26" t="s">
        <v>158</v>
      </c>
      <c r="C31" s="26" t="s">
        <v>111</v>
      </c>
      <c r="D31" s="26" t="s">
        <v>96</v>
      </c>
      <c r="E31" s="25">
        <v>32</v>
      </c>
      <c r="F31" s="25">
        <v>10</v>
      </c>
      <c r="G31" s="27">
        <v>45335</v>
      </c>
      <c r="H31" s="2">
        <f t="shared" si="0"/>
        <v>320</v>
      </c>
    </row>
    <row r="32" spans="1:12" ht="16.5" customHeight="1">
      <c r="A32" s="25">
        <v>1031</v>
      </c>
      <c r="B32" s="26" t="s">
        <v>159</v>
      </c>
      <c r="C32" s="26" t="s">
        <v>116</v>
      </c>
      <c r="D32" s="26" t="s">
        <v>94</v>
      </c>
      <c r="E32" s="25">
        <v>10</v>
      </c>
      <c r="F32" s="25">
        <v>25</v>
      </c>
      <c r="G32" s="27">
        <v>45336</v>
      </c>
      <c r="H32" s="2">
        <f t="shared" si="0"/>
        <v>250</v>
      </c>
    </row>
    <row r="33" spans="1:20" ht="16.5" customHeight="1">
      <c r="A33" s="25">
        <v>1032</v>
      </c>
      <c r="B33" s="26" t="s">
        <v>160</v>
      </c>
      <c r="C33" s="26" t="s">
        <v>119</v>
      </c>
      <c r="D33" s="26" t="s">
        <v>97</v>
      </c>
      <c r="E33" s="25">
        <v>18</v>
      </c>
      <c r="F33" s="25">
        <v>5</v>
      </c>
      <c r="G33" s="27">
        <v>45338</v>
      </c>
      <c r="H33" s="2">
        <f t="shared" si="0"/>
        <v>90</v>
      </c>
    </row>
    <row r="34" spans="1:20" ht="16.5" customHeight="1">
      <c r="A34" s="25">
        <v>1033</v>
      </c>
      <c r="B34" s="26" t="s">
        <v>161</v>
      </c>
      <c r="C34" s="26" t="s">
        <v>107</v>
      </c>
      <c r="D34" s="26" t="s">
        <v>93</v>
      </c>
      <c r="E34" s="25">
        <v>22</v>
      </c>
      <c r="F34" s="25">
        <v>8</v>
      </c>
      <c r="G34" s="27">
        <v>45339</v>
      </c>
      <c r="H34" s="2">
        <f t="shared" si="0"/>
        <v>176</v>
      </c>
    </row>
    <row r="35" spans="1:20" ht="16.5" customHeight="1">
      <c r="A35" s="25">
        <v>1034</v>
      </c>
      <c r="B35" s="26" t="s">
        <v>162</v>
      </c>
      <c r="C35" s="26" t="s">
        <v>111</v>
      </c>
      <c r="D35" s="26" t="s">
        <v>95</v>
      </c>
      <c r="E35" s="25">
        <v>17</v>
      </c>
      <c r="F35" s="25">
        <v>50</v>
      </c>
      <c r="G35" s="27">
        <v>45340</v>
      </c>
      <c r="H35" s="2">
        <f t="shared" si="0"/>
        <v>850</v>
      </c>
    </row>
    <row r="36" spans="1:20" ht="16.5" customHeight="1">
      <c r="A36" s="25">
        <v>1035</v>
      </c>
      <c r="B36" s="26" t="s">
        <v>163</v>
      </c>
      <c r="C36" s="26" t="s">
        <v>116</v>
      </c>
      <c r="D36" s="26" t="s">
        <v>96</v>
      </c>
      <c r="E36" s="25">
        <v>19</v>
      </c>
      <c r="F36" s="25">
        <v>10</v>
      </c>
      <c r="G36" s="27">
        <v>45341</v>
      </c>
      <c r="H36" s="2">
        <f t="shared" si="0"/>
        <v>190</v>
      </c>
      <c r="J36" s="3" t="s">
        <v>164</v>
      </c>
      <c r="K36" s="3" t="s">
        <v>165</v>
      </c>
      <c r="L36" s="3"/>
      <c r="M36" s="3"/>
      <c r="N36" s="3"/>
    </row>
    <row r="37" spans="1:20" ht="16.5" customHeight="1">
      <c r="A37" s="25">
        <v>1036</v>
      </c>
      <c r="B37" s="26" t="s">
        <v>166</v>
      </c>
      <c r="C37" s="26" t="s">
        <v>119</v>
      </c>
      <c r="D37" s="26" t="s">
        <v>94</v>
      </c>
      <c r="E37" s="25">
        <v>15</v>
      </c>
      <c r="F37" s="25">
        <v>25</v>
      </c>
      <c r="G37" s="27">
        <v>45343</v>
      </c>
      <c r="H37" s="2">
        <f t="shared" si="0"/>
        <v>375</v>
      </c>
    </row>
    <row r="38" spans="1:20" ht="16.5" customHeight="1">
      <c r="A38" s="25">
        <v>1037</v>
      </c>
      <c r="B38" s="26" t="s">
        <v>167</v>
      </c>
      <c r="C38" s="26" t="s">
        <v>107</v>
      </c>
      <c r="D38" s="26" t="s">
        <v>97</v>
      </c>
      <c r="E38" s="25">
        <v>28</v>
      </c>
      <c r="F38" s="25">
        <v>5</v>
      </c>
      <c r="G38" s="27">
        <v>45344</v>
      </c>
      <c r="H38" s="2">
        <f t="shared" si="0"/>
        <v>140</v>
      </c>
      <c r="J38" s="3" t="s">
        <v>124</v>
      </c>
    </row>
    <row r="39" spans="1:20" ht="16.5" customHeight="1">
      <c r="A39" s="25">
        <v>1038</v>
      </c>
      <c r="B39" s="26" t="s">
        <v>168</v>
      </c>
      <c r="C39" s="26" t="s">
        <v>111</v>
      </c>
      <c r="D39" s="26" t="s">
        <v>93</v>
      </c>
      <c r="E39" s="25">
        <v>24</v>
      </c>
      <c r="F39" s="25">
        <v>8</v>
      </c>
      <c r="G39" s="27">
        <v>45345</v>
      </c>
      <c r="H39" s="2">
        <f t="shared" si="0"/>
        <v>192</v>
      </c>
    </row>
    <row r="40" spans="1:20" ht="16.5" customHeight="1">
      <c r="A40" s="25">
        <v>1039</v>
      </c>
      <c r="B40" s="26" t="s">
        <v>169</v>
      </c>
      <c r="C40" s="26" t="s">
        <v>116</v>
      </c>
      <c r="D40" s="26" t="s">
        <v>95</v>
      </c>
      <c r="E40" s="25">
        <v>16</v>
      </c>
      <c r="F40" s="25">
        <v>50</v>
      </c>
      <c r="G40" s="27">
        <v>45347</v>
      </c>
      <c r="H40" s="2">
        <f t="shared" si="0"/>
        <v>800</v>
      </c>
    </row>
    <row r="41" spans="1:20" ht="16.5" customHeight="1">
      <c r="A41" s="25">
        <v>1040</v>
      </c>
      <c r="B41" s="26" t="s">
        <v>170</v>
      </c>
      <c r="C41" s="26" t="s">
        <v>119</v>
      </c>
      <c r="D41" s="26" t="s">
        <v>96</v>
      </c>
      <c r="E41" s="25">
        <v>27</v>
      </c>
      <c r="F41" s="25">
        <v>10</v>
      </c>
      <c r="G41" s="27">
        <v>45348</v>
      </c>
      <c r="H41" s="2">
        <f t="shared" si="0"/>
        <v>270</v>
      </c>
    </row>
    <row r="42" spans="1:20" ht="16.5" customHeight="1">
      <c r="A42" s="25">
        <v>1041</v>
      </c>
      <c r="B42" s="26" t="s">
        <v>171</v>
      </c>
      <c r="C42" s="26" t="s">
        <v>107</v>
      </c>
      <c r="D42" s="26" t="s">
        <v>94</v>
      </c>
      <c r="E42" s="25">
        <v>21</v>
      </c>
      <c r="F42" s="25">
        <v>25</v>
      </c>
      <c r="G42" s="27">
        <v>45349</v>
      </c>
      <c r="H42" s="2">
        <f t="shared" si="0"/>
        <v>525</v>
      </c>
    </row>
    <row r="43" spans="1:20" ht="16.5" customHeight="1">
      <c r="A43" s="25">
        <v>1042</v>
      </c>
      <c r="B43" s="26" t="s">
        <v>172</v>
      </c>
      <c r="C43" s="26" t="s">
        <v>111</v>
      </c>
      <c r="D43" s="26" t="s">
        <v>97</v>
      </c>
      <c r="E43" s="25">
        <v>30</v>
      </c>
      <c r="F43" s="25">
        <v>5</v>
      </c>
      <c r="G43" s="27">
        <v>45350</v>
      </c>
      <c r="H43" s="2">
        <f t="shared" si="0"/>
        <v>150</v>
      </c>
    </row>
    <row r="44" spans="1:20" ht="16.5" customHeight="1">
      <c r="A44" s="25">
        <v>1043</v>
      </c>
      <c r="B44" s="26" t="s">
        <v>173</v>
      </c>
      <c r="C44" s="26" t="s">
        <v>116</v>
      </c>
      <c r="D44" s="26" t="s">
        <v>93</v>
      </c>
      <c r="E44" s="25">
        <v>26</v>
      </c>
      <c r="F44" s="25">
        <v>8</v>
      </c>
      <c r="G44" s="27">
        <v>45352</v>
      </c>
      <c r="H44" s="2">
        <f t="shared" si="0"/>
        <v>208</v>
      </c>
    </row>
    <row r="45" spans="1:20" ht="16.5" customHeight="1">
      <c r="A45" s="25">
        <v>1044</v>
      </c>
      <c r="B45" s="26" t="s">
        <v>174</v>
      </c>
      <c r="C45" s="26" t="s">
        <v>119</v>
      </c>
      <c r="D45" s="26" t="s">
        <v>95</v>
      </c>
      <c r="E45" s="25">
        <v>14</v>
      </c>
      <c r="F45" s="25">
        <v>50</v>
      </c>
      <c r="G45" s="27">
        <v>45353</v>
      </c>
      <c r="H45" s="2">
        <f t="shared" si="0"/>
        <v>700</v>
      </c>
    </row>
    <row r="46" spans="1:20" ht="16.5" customHeight="1">
      <c r="A46" s="25">
        <v>1045</v>
      </c>
      <c r="B46" s="26" t="s">
        <v>175</v>
      </c>
      <c r="C46" s="26" t="s">
        <v>107</v>
      </c>
      <c r="D46" s="26" t="s">
        <v>96</v>
      </c>
      <c r="E46" s="25">
        <v>20</v>
      </c>
      <c r="F46" s="25">
        <v>10</v>
      </c>
      <c r="G46" s="27">
        <v>45354</v>
      </c>
      <c r="H46" s="2">
        <f t="shared" si="0"/>
        <v>200</v>
      </c>
    </row>
    <row r="47" spans="1:20" ht="16.5" customHeight="1">
      <c r="A47" s="25">
        <v>1046</v>
      </c>
      <c r="B47" s="26" t="s">
        <v>176</v>
      </c>
      <c r="C47" s="26" t="s">
        <v>111</v>
      </c>
      <c r="D47" s="26" t="s">
        <v>94</v>
      </c>
      <c r="E47" s="25">
        <v>17</v>
      </c>
      <c r="F47" s="25">
        <v>25</v>
      </c>
      <c r="G47" s="27">
        <v>45355</v>
      </c>
      <c r="H47" s="2">
        <f t="shared" si="0"/>
        <v>425</v>
      </c>
      <c r="T47" s="30"/>
    </row>
    <row r="48" spans="1:20" ht="16.5" customHeight="1">
      <c r="A48" s="25">
        <v>1047</v>
      </c>
      <c r="B48" s="26" t="s">
        <v>177</v>
      </c>
      <c r="C48" s="26" t="s">
        <v>116</v>
      </c>
      <c r="D48" s="26" t="s">
        <v>97</v>
      </c>
      <c r="E48" s="25">
        <v>19</v>
      </c>
      <c r="F48" s="25">
        <v>5</v>
      </c>
      <c r="G48" s="27">
        <v>45356</v>
      </c>
      <c r="H48" s="2">
        <f t="shared" si="0"/>
        <v>95</v>
      </c>
    </row>
    <row r="49" spans="1:13" ht="16.5" customHeight="1">
      <c r="A49" s="25">
        <v>1048</v>
      </c>
      <c r="B49" s="26" t="s">
        <v>178</v>
      </c>
      <c r="C49" s="26" t="s">
        <v>119</v>
      </c>
      <c r="D49" s="26" t="s">
        <v>93</v>
      </c>
      <c r="E49" s="25">
        <v>32</v>
      </c>
      <c r="F49" s="25">
        <v>8</v>
      </c>
      <c r="G49" s="27">
        <v>45357</v>
      </c>
      <c r="H49" s="2">
        <f t="shared" si="0"/>
        <v>256</v>
      </c>
    </row>
    <row r="50" spans="1:13" ht="16.5" customHeight="1">
      <c r="A50" s="25">
        <v>1049</v>
      </c>
      <c r="B50" s="26" t="s">
        <v>179</v>
      </c>
      <c r="C50" s="26" t="s">
        <v>107</v>
      </c>
      <c r="D50" s="26" t="s">
        <v>95</v>
      </c>
      <c r="E50" s="25">
        <v>12</v>
      </c>
      <c r="F50" s="25">
        <v>50</v>
      </c>
      <c r="G50" s="27">
        <v>45358</v>
      </c>
      <c r="H50" s="2">
        <f t="shared" si="0"/>
        <v>600</v>
      </c>
    </row>
    <row r="51" spans="1:13" ht="16.5" customHeight="1">
      <c r="A51" s="25">
        <v>1050</v>
      </c>
      <c r="B51" s="26" t="s">
        <v>180</v>
      </c>
      <c r="C51" s="26" t="s">
        <v>111</v>
      </c>
      <c r="D51" s="26" t="s">
        <v>96</v>
      </c>
      <c r="E51" s="25">
        <v>25</v>
      </c>
      <c r="F51" s="25">
        <v>10</v>
      </c>
      <c r="G51" s="27">
        <v>45359</v>
      </c>
      <c r="H51" s="2">
        <f t="shared" si="0"/>
        <v>250</v>
      </c>
    </row>
    <row r="52" spans="1:13" ht="16.5" customHeight="1"/>
    <row r="53" spans="1:13" ht="16.5" customHeight="1"/>
    <row r="54" spans="1:13" ht="16.5" customHeight="1">
      <c r="K54" s="15" t="s">
        <v>99</v>
      </c>
      <c r="L54" s="15" t="s">
        <v>92</v>
      </c>
      <c r="M54" s="15"/>
    </row>
    <row r="55" spans="1:13" ht="16.5" customHeight="1">
      <c r="B55" s="22"/>
      <c r="K55" s="31">
        <v>45296</v>
      </c>
      <c r="L55" s="15">
        <v>500</v>
      </c>
      <c r="M55" s="15"/>
    </row>
    <row r="56" spans="1:13" ht="16.5" customHeight="1">
      <c r="B56" s="22"/>
      <c r="K56" s="31">
        <v>45297</v>
      </c>
      <c r="L56" s="15">
        <v>200</v>
      </c>
      <c r="M56" s="15"/>
    </row>
    <row r="57" spans="1:13" ht="16.5" customHeight="1">
      <c r="B57" s="22"/>
      <c r="K57" s="31">
        <v>45298</v>
      </c>
      <c r="L57" s="15">
        <v>375</v>
      </c>
      <c r="M57" s="15"/>
    </row>
    <row r="58" spans="1:13" ht="16.5" customHeight="1">
      <c r="B58" s="22"/>
      <c r="K58" s="31">
        <v>45299</v>
      </c>
      <c r="L58" s="15">
        <v>250</v>
      </c>
      <c r="M58" s="15"/>
    </row>
    <row r="59" spans="1:13" ht="16.5" customHeight="1">
      <c r="B59" s="22"/>
      <c r="K59" s="31">
        <v>45301</v>
      </c>
      <c r="L59" s="15">
        <v>150</v>
      </c>
      <c r="M59" s="15"/>
    </row>
    <row r="60" spans="1:13" ht="16.5" customHeight="1">
      <c r="B60" s="22"/>
      <c r="K60" s="31">
        <v>45302</v>
      </c>
      <c r="L60" s="15">
        <v>600</v>
      </c>
      <c r="M60" s="15"/>
    </row>
    <row r="61" spans="1:13" ht="16.5" customHeight="1">
      <c r="B61" s="22"/>
      <c r="K61" s="31">
        <v>45304</v>
      </c>
      <c r="L61" s="15">
        <v>200</v>
      </c>
      <c r="M61" s="15"/>
    </row>
    <row r="62" spans="1:13" ht="16.5" customHeight="1">
      <c r="B62" s="22"/>
      <c r="K62" s="31">
        <v>45306</v>
      </c>
      <c r="L62" s="15">
        <v>180</v>
      </c>
      <c r="M62" s="15"/>
    </row>
    <row r="63" spans="1:13" ht="16.5" customHeight="1">
      <c r="B63" s="22"/>
      <c r="K63" s="31">
        <v>45308</v>
      </c>
      <c r="L63" s="15">
        <v>550</v>
      </c>
      <c r="M63" s="15"/>
    </row>
    <row r="64" spans="1:13" ht="16.5" customHeight="1">
      <c r="B64" s="22"/>
      <c r="K64" s="31">
        <v>45309</v>
      </c>
      <c r="L64" s="15">
        <v>400</v>
      </c>
      <c r="M64" s="15"/>
    </row>
    <row r="65" spans="2:13" ht="16.5" customHeight="1">
      <c r="B65" s="22"/>
      <c r="K65" s="31">
        <v>45310</v>
      </c>
      <c r="L65" s="15">
        <v>200</v>
      </c>
      <c r="M65" s="15"/>
    </row>
    <row r="66" spans="2:13" ht="16.5" customHeight="1">
      <c r="B66" s="22"/>
      <c r="K66" s="31">
        <v>45311</v>
      </c>
      <c r="L66" s="15">
        <v>280</v>
      </c>
      <c r="M66" s="15"/>
    </row>
    <row r="67" spans="2:13" ht="16.5" customHeight="1">
      <c r="B67" s="22"/>
      <c r="K67" s="31">
        <v>45313</v>
      </c>
      <c r="L67" s="15">
        <v>700</v>
      </c>
      <c r="M67" s="15"/>
    </row>
    <row r="68" spans="2:13" ht="16.5" customHeight="1">
      <c r="B68" s="22"/>
      <c r="K68" s="31">
        <v>45314</v>
      </c>
      <c r="L68" s="15">
        <v>280</v>
      </c>
      <c r="M68" s="15"/>
    </row>
    <row r="69" spans="2:13" ht="16.5" customHeight="1">
      <c r="B69" s="22"/>
      <c r="K69" s="31">
        <v>45315</v>
      </c>
      <c r="L69" s="15">
        <v>300</v>
      </c>
      <c r="M69" s="15"/>
    </row>
    <row r="70" spans="2:13" ht="16.5" customHeight="1">
      <c r="B70" s="22"/>
      <c r="K70" s="31">
        <v>45317</v>
      </c>
      <c r="L70" s="15">
        <v>125</v>
      </c>
      <c r="M70" s="15"/>
    </row>
    <row r="71" spans="2:13" ht="16.5" customHeight="1">
      <c r="B71" s="22"/>
      <c r="K71" s="31">
        <v>45319</v>
      </c>
      <c r="L71" s="15">
        <v>160</v>
      </c>
      <c r="M71" s="15"/>
    </row>
    <row r="72" spans="2:13" ht="16.5" customHeight="1">
      <c r="B72" s="22"/>
      <c r="K72" s="31">
        <v>45320</v>
      </c>
      <c r="L72" s="15">
        <v>500</v>
      </c>
      <c r="M72" s="15"/>
    </row>
    <row r="73" spans="2:13" ht="16.5" customHeight="1">
      <c r="B73" s="22"/>
      <c r="K73" s="31">
        <v>45321</v>
      </c>
      <c r="L73" s="15">
        <v>150</v>
      </c>
      <c r="M73" s="15"/>
    </row>
    <row r="74" spans="2:13" ht="16.5" customHeight="1">
      <c r="B74" s="22"/>
      <c r="K74" s="31">
        <v>45323</v>
      </c>
      <c r="L74" s="15">
        <v>450</v>
      </c>
      <c r="M74" s="15"/>
    </row>
    <row r="75" spans="2:13" ht="16.5" customHeight="1">
      <c r="B75" s="22"/>
      <c r="K75" s="31">
        <v>45324</v>
      </c>
      <c r="L75" s="15">
        <v>450</v>
      </c>
      <c r="M75" s="15"/>
    </row>
    <row r="76" spans="2:13" ht="16.5" customHeight="1">
      <c r="B76" s="22"/>
      <c r="K76" s="31">
        <v>45325</v>
      </c>
      <c r="L76" s="15">
        <v>175</v>
      </c>
      <c r="M76" s="15"/>
    </row>
    <row r="77" spans="2:13" ht="16.5" customHeight="1">
      <c r="B77" s="22"/>
      <c r="K77" s="31">
        <v>45326</v>
      </c>
      <c r="L77" s="15">
        <v>240</v>
      </c>
      <c r="M77" s="15"/>
    </row>
    <row r="78" spans="2:13" ht="16.5" customHeight="1">
      <c r="B78" s="22"/>
      <c r="K78" s="31">
        <v>45328</v>
      </c>
      <c r="L78" s="15">
        <v>550</v>
      </c>
      <c r="M78" s="15"/>
    </row>
    <row r="79" spans="2:13" ht="16.5" customHeight="1">
      <c r="B79" s="22"/>
      <c r="K79" s="31">
        <v>45329</v>
      </c>
      <c r="L79" s="15">
        <v>140</v>
      </c>
      <c r="M79" s="15"/>
    </row>
    <row r="80" spans="2:13" ht="16.5" customHeight="1">
      <c r="B80" s="22"/>
      <c r="K80" s="31">
        <v>45330</v>
      </c>
      <c r="L80" s="15">
        <v>400</v>
      </c>
      <c r="M80" s="15"/>
    </row>
    <row r="81" spans="2:13" ht="16.5" customHeight="1">
      <c r="B81" s="22"/>
      <c r="K81" s="31">
        <v>45331</v>
      </c>
      <c r="L81" s="15">
        <v>110</v>
      </c>
      <c r="M81" s="15"/>
    </row>
    <row r="82" spans="2:13" ht="16.5" customHeight="1">
      <c r="B82" s="22"/>
      <c r="K82" s="31">
        <v>45332</v>
      </c>
      <c r="L82" s="15">
        <v>216</v>
      </c>
      <c r="M82" s="15"/>
    </row>
    <row r="83" spans="2:13" ht="16.5" customHeight="1">
      <c r="B83" s="22"/>
      <c r="K83" s="31">
        <v>45334</v>
      </c>
      <c r="L83" s="15">
        <v>650</v>
      </c>
      <c r="M83" s="15"/>
    </row>
    <row r="84" spans="2:13" ht="16.5" customHeight="1">
      <c r="B84" s="22"/>
      <c r="K84" s="31">
        <v>45335</v>
      </c>
      <c r="L84" s="15">
        <v>320</v>
      </c>
      <c r="M84" s="15"/>
    </row>
    <row r="85" spans="2:13" ht="16.5" customHeight="1">
      <c r="B85" s="22"/>
      <c r="K85" s="31">
        <v>45336</v>
      </c>
      <c r="L85" s="15">
        <v>250</v>
      </c>
      <c r="M85" s="15"/>
    </row>
    <row r="86" spans="2:13" ht="16.5" customHeight="1">
      <c r="B86" s="22"/>
      <c r="K86" s="31">
        <v>45338</v>
      </c>
      <c r="L86" s="15">
        <v>90</v>
      </c>
      <c r="M86" s="15"/>
    </row>
    <row r="87" spans="2:13" ht="16.5" customHeight="1">
      <c r="B87" s="22"/>
      <c r="K87" s="31">
        <v>45339</v>
      </c>
      <c r="L87" s="15">
        <v>176</v>
      </c>
      <c r="M87" s="15"/>
    </row>
    <row r="88" spans="2:13" ht="16.5" customHeight="1">
      <c r="B88" s="22"/>
      <c r="K88" s="31">
        <v>45340</v>
      </c>
      <c r="L88" s="15">
        <v>850</v>
      </c>
      <c r="M88" s="15"/>
    </row>
    <row r="89" spans="2:13" ht="16.5" customHeight="1">
      <c r="B89" s="22"/>
      <c r="K89" s="31">
        <v>45341</v>
      </c>
      <c r="L89" s="15">
        <v>190</v>
      </c>
      <c r="M89" s="15"/>
    </row>
    <row r="90" spans="2:13" ht="16.5" customHeight="1">
      <c r="B90" s="22"/>
      <c r="K90" s="31">
        <v>45343</v>
      </c>
      <c r="L90" s="15">
        <v>375</v>
      </c>
      <c r="M90" s="15"/>
    </row>
    <row r="91" spans="2:13" ht="16.5" customHeight="1">
      <c r="B91" s="22"/>
      <c r="K91" s="31">
        <v>45344</v>
      </c>
      <c r="L91" s="15">
        <v>140</v>
      </c>
      <c r="M91" s="15"/>
    </row>
    <row r="92" spans="2:13" ht="16.5" customHeight="1">
      <c r="B92" s="22"/>
      <c r="K92" s="31">
        <v>45345</v>
      </c>
      <c r="L92" s="15">
        <v>192</v>
      </c>
      <c r="M92" s="15"/>
    </row>
    <row r="93" spans="2:13" ht="16.5" customHeight="1">
      <c r="B93" s="22"/>
      <c r="K93" s="31">
        <v>45347</v>
      </c>
      <c r="L93" s="15">
        <v>800</v>
      </c>
      <c r="M93" s="15"/>
    </row>
    <row r="94" spans="2:13" ht="16.5" customHeight="1">
      <c r="B94" s="22"/>
      <c r="K94" s="31">
        <v>45348</v>
      </c>
      <c r="L94" s="15">
        <v>270</v>
      </c>
      <c r="M94" s="15"/>
    </row>
    <row r="95" spans="2:13" ht="16.5" customHeight="1">
      <c r="B95" s="22"/>
      <c r="K95" s="31">
        <v>45349</v>
      </c>
      <c r="L95" s="15">
        <v>525</v>
      </c>
      <c r="M95" s="15"/>
    </row>
    <row r="96" spans="2:13" ht="16.5" customHeight="1">
      <c r="B96" s="22"/>
      <c r="K96" s="31">
        <v>45350</v>
      </c>
      <c r="L96" s="15">
        <v>150</v>
      </c>
      <c r="M96" s="15"/>
    </row>
    <row r="97" spans="2:13" ht="16.5" customHeight="1">
      <c r="B97" s="22"/>
      <c r="K97" s="31">
        <v>45352</v>
      </c>
      <c r="L97" s="15">
        <v>208</v>
      </c>
      <c r="M97" s="15"/>
    </row>
    <row r="98" spans="2:13" ht="16.5" customHeight="1">
      <c r="B98" s="22"/>
      <c r="K98" s="31">
        <v>45353</v>
      </c>
      <c r="L98" s="15">
        <v>700</v>
      </c>
      <c r="M98" s="15"/>
    </row>
    <row r="99" spans="2:13" ht="16.5" customHeight="1">
      <c r="B99" s="22"/>
      <c r="K99" s="31">
        <v>45354</v>
      </c>
      <c r="L99" s="15">
        <v>200</v>
      </c>
      <c r="M99" s="15"/>
    </row>
    <row r="100" spans="2:13" ht="16.5" customHeight="1">
      <c r="B100" s="22"/>
      <c r="K100" s="31">
        <v>45355</v>
      </c>
      <c r="L100" s="15">
        <v>425</v>
      </c>
      <c r="M100" s="15"/>
    </row>
    <row r="101" spans="2:13" ht="16.5" customHeight="1">
      <c r="B101" s="22"/>
      <c r="K101" s="31">
        <v>45356</v>
      </c>
      <c r="L101" s="15">
        <v>95</v>
      </c>
      <c r="M101" s="15"/>
    </row>
    <row r="102" spans="2:13" ht="16.5" customHeight="1">
      <c r="B102" s="22"/>
      <c r="K102" s="31">
        <v>45357</v>
      </c>
      <c r="L102" s="15">
        <v>256</v>
      </c>
      <c r="M102" s="15"/>
    </row>
    <row r="103" spans="2:13" ht="16.5" customHeight="1">
      <c r="B103" s="22"/>
      <c r="K103" s="31">
        <v>45358</v>
      </c>
      <c r="L103" s="15">
        <v>600</v>
      </c>
      <c r="M103" s="15"/>
    </row>
    <row r="104" spans="2:13" ht="16.5" customHeight="1">
      <c r="B104" s="22"/>
      <c r="K104" s="31">
        <v>45359</v>
      </c>
      <c r="L104" s="15">
        <v>250</v>
      </c>
      <c r="M104" s="15"/>
    </row>
    <row r="105" spans="2:13" ht="16.5" customHeight="1">
      <c r="K105" s="15" t="s">
        <v>98</v>
      </c>
      <c r="L105" s="15">
        <v>16543</v>
      </c>
      <c r="M105" s="15"/>
    </row>
    <row r="106" spans="2:13" ht="16.5" customHeight="1"/>
    <row r="107" spans="2:13" ht="16.5" customHeight="1"/>
    <row r="108" spans="2:13" ht="16.5" customHeight="1"/>
    <row r="109" spans="2:13" ht="16.5" customHeight="1"/>
    <row r="110" spans="2:13" ht="16.5" customHeight="1"/>
    <row r="111" spans="2:13" ht="16.5" customHeight="1"/>
    <row r="112" spans="2:13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/>
  <cols>
    <col min="1" max="26" width="7.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/>
  </sheetViews>
  <sheetFormatPr defaultColWidth="12.625" defaultRowHeight="15" customHeight="1"/>
  <cols>
    <col min="1" max="1" width="10.75" customWidth="1"/>
    <col min="2" max="5" width="7.875" customWidth="1"/>
    <col min="6" max="6" width="9.375" customWidth="1"/>
    <col min="7" max="7" width="10.75" customWidth="1"/>
    <col min="8" max="26" width="7.875" customWidth="1"/>
  </cols>
  <sheetData>
    <row r="1" spans="1:15" ht="18.75" customHeight="1">
      <c r="A1" s="23"/>
      <c r="B1" s="23"/>
      <c r="C1" s="23"/>
      <c r="D1" s="23"/>
      <c r="E1" s="23"/>
      <c r="F1" s="23"/>
      <c r="G1" s="23"/>
    </row>
    <row r="2" spans="1:15">
      <c r="A2" s="25"/>
      <c r="B2" s="26"/>
      <c r="C2" s="26"/>
      <c r="D2" s="26"/>
      <c r="E2" s="25"/>
      <c r="F2" s="25"/>
      <c r="G2" s="27"/>
      <c r="I2" s="23"/>
      <c r="J2" s="24"/>
      <c r="K2" s="23"/>
      <c r="L2" s="23"/>
      <c r="N2" s="23"/>
      <c r="O2" s="23"/>
    </row>
    <row r="3" spans="1:15">
      <c r="A3" s="25"/>
      <c r="B3" s="26"/>
      <c r="C3" s="26"/>
      <c r="D3" s="26"/>
      <c r="E3" s="25"/>
      <c r="F3" s="25"/>
      <c r="G3" s="27"/>
      <c r="I3" s="25"/>
      <c r="K3" s="26"/>
      <c r="L3" s="26"/>
      <c r="M3" s="25"/>
      <c r="N3" s="25"/>
      <c r="O3" s="27"/>
    </row>
    <row r="4" spans="1:15">
      <c r="A4" s="25"/>
      <c r="B4" s="26"/>
      <c r="C4" s="26"/>
      <c r="D4" s="26"/>
      <c r="E4" s="25"/>
      <c r="F4" s="25"/>
      <c r="G4" s="27"/>
      <c r="I4" s="25"/>
      <c r="K4" s="26"/>
      <c r="L4" s="26"/>
      <c r="M4" s="25"/>
      <c r="N4" s="25"/>
      <c r="O4" s="27"/>
    </row>
    <row r="5" spans="1:15">
      <c r="A5" s="25"/>
      <c r="B5" s="26"/>
      <c r="C5" s="26"/>
      <c r="D5" s="26"/>
      <c r="E5" s="25"/>
      <c r="F5" s="25"/>
      <c r="G5" s="27"/>
      <c r="I5" s="25"/>
      <c r="K5" s="26"/>
      <c r="L5" s="26"/>
      <c r="M5" s="25"/>
      <c r="N5" s="25"/>
      <c r="O5" s="27"/>
    </row>
    <row r="6" spans="1:15">
      <c r="A6" s="25"/>
      <c r="B6" s="26"/>
      <c r="C6" s="26"/>
      <c r="D6" s="26"/>
      <c r="E6" s="25"/>
      <c r="F6" s="25"/>
      <c r="G6" s="27"/>
      <c r="I6" s="25"/>
      <c r="K6" s="26"/>
      <c r="L6" s="26"/>
      <c r="M6" s="25"/>
      <c r="N6" s="25"/>
      <c r="O6" s="27"/>
    </row>
    <row r="7" spans="1:15">
      <c r="A7" s="25"/>
      <c r="B7" s="26"/>
      <c r="C7" s="26"/>
      <c r="D7" s="26"/>
      <c r="E7" s="25"/>
      <c r="F7" s="25"/>
      <c r="G7" s="27"/>
      <c r="I7" s="25"/>
      <c r="K7" s="26"/>
      <c r="L7" s="26"/>
      <c r="M7" s="25"/>
      <c r="N7" s="25"/>
      <c r="O7" s="27"/>
    </row>
    <row r="8" spans="1:15">
      <c r="A8" s="25"/>
      <c r="B8" s="26"/>
      <c r="C8" s="26"/>
      <c r="D8" s="26"/>
      <c r="E8" s="25"/>
      <c r="F8" s="25"/>
      <c r="G8" s="27"/>
      <c r="I8" s="25"/>
      <c r="K8" s="26"/>
      <c r="L8" s="26"/>
      <c r="M8" s="25"/>
      <c r="N8" s="25"/>
      <c r="O8" s="27"/>
    </row>
    <row r="9" spans="1:15">
      <c r="A9" s="25"/>
      <c r="B9" s="26"/>
      <c r="C9" s="26"/>
      <c r="D9" s="26"/>
      <c r="E9" s="25"/>
      <c r="F9" s="25"/>
      <c r="G9" s="27"/>
      <c r="I9" s="25"/>
      <c r="K9" s="26"/>
      <c r="L9" s="26"/>
      <c r="M9" s="25"/>
      <c r="N9" s="25"/>
      <c r="O9" s="27"/>
    </row>
    <row r="10" spans="1:15">
      <c r="A10" s="25"/>
      <c r="B10" s="26"/>
      <c r="C10" s="26"/>
      <c r="D10" s="26"/>
      <c r="E10" s="25"/>
      <c r="F10" s="25"/>
      <c r="G10" s="27"/>
      <c r="I10" s="25"/>
      <c r="K10" s="26"/>
      <c r="L10" s="26"/>
      <c r="M10" s="25"/>
      <c r="N10" s="25"/>
      <c r="O10" s="27"/>
    </row>
    <row r="11" spans="1:15">
      <c r="A11" s="25"/>
      <c r="B11" s="26"/>
      <c r="C11" s="26"/>
      <c r="D11" s="26"/>
      <c r="E11" s="25"/>
      <c r="F11" s="25"/>
      <c r="G11" s="27"/>
      <c r="I11" s="25"/>
      <c r="K11" s="26"/>
      <c r="L11" s="26"/>
      <c r="M11" s="25"/>
      <c r="N11" s="25"/>
      <c r="O11" s="27"/>
    </row>
    <row r="12" spans="1:15">
      <c r="A12" s="25"/>
      <c r="B12" s="26"/>
      <c r="C12" s="26"/>
      <c r="D12" s="26"/>
      <c r="E12" s="25"/>
      <c r="F12" s="25"/>
      <c r="G12" s="27"/>
      <c r="I12" s="25"/>
      <c r="K12" s="26"/>
      <c r="L12" s="26"/>
      <c r="M12" s="25"/>
      <c r="N12" s="25"/>
      <c r="O12" s="27"/>
    </row>
    <row r="13" spans="1:15">
      <c r="A13" s="25"/>
      <c r="B13" s="26"/>
      <c r="C13" s="26"/>
      <c r="D13" s="26"/>
      <c r="E13" s="25"/>
      <c r="F13" s="25"/>
      <c r="G13" s="27"/>
      <c r="I13" s="25"/>
      <c r="K13" s="26"/>
      <c r="L13" s="26"/>
      <c r="M13" s="25"/>
      <c r="N13" s="25"/>
      <c r="O13" s="27"/>
    </row>
    <row r="14" spans="1:15">
      <c r="A14" s="25"/>
      <c r="B14" s="26"/>
      <c r="C14" s="26"/>
      <c r="D14" s="26"/>
      <c r="E14" s="25"/>
      <c r="F14" s="25"/>
      <c r="G14" s="27"/>
      <c r="I14" s="25"/>
      <c r="K14" s="26"/>
      <c r="L14" s="26"/>
      <c r="M14" s="25"/>
      <c r="N14" s="25"/>
      <c r="O14" s="27"/>
    </row>
    <row r="15" spans="1:15">
      <c r="A15" s="25"/>
      <c r="B15" s="26"/>
      <c r="C15" s="26"/>
      <c r="D15" s="26"/>
      <c r="E15" s="25"/>
      <c r="F15" s="25"/>
      <c r="G15" s="27"/>
      <c r="I15" s="25"/>
      <c r="K15" s="26"/>
      <c r="L15" s="26"/>
      <c r="M15" s="25"/>
      <c r="N15" s="25"/>
      <c r="O15" s="27"/>
    </row>
    <row r="16" spans="1:15">
      <c r="A16" s="25"/>
      <c r="B16" s="26"/>
      <c r="C16" s="26"/>
      <c r="D16" s="26"/>
      <c r="E16" s="25"/>
      <c r="F16" s="25"/>
      <c r="G16" s="27"/>
      <c r="I16" s="25"/>
      <c r="K16" s="26"/>
      <c r="L16" s="26"/>
      <c r="M16" s="25"/>
      <c r="N16" s="25"/>
      <c r="O16" s="27"/>
    </row>
    <row r="17" spans="1:15">
      <c r="A17" s="25"/>
      <c r="B17" s="26"/>
      <c r="C17" s="26"/>
      <c r="D17" s="26"/>
      <c r="E17" s="25"/>
      <c r="F17" s="25"/>
      <c r="G17" s="27"/>
      <c r="I17" s="25"/>
      <c r="K17" s="26"/>
      <c r="L17" s="26"/>
      <c r="M17" s="25"/>
      <c r="N17" s="25"/>
      <c r="O17" s="27"/>
    </row>
    <row r="18" spans="1:15">
      <c r="A18" s="25"/>
      <c r="B18" s="26"/>
      <c r="C18" s="26"/>
      <c r="D18" s="26"/>
      <c r="E18" s="25"/>
      <c r="F18" s="25"/>
      <c r="G18" s="27"/>
      <c r="I18" s="25"/>
      <c r="K18" s="26"/>
      <c r="L18" s="26"/>
      <c r="M18" s="25"/>
      <c r="N18" s="25"/>
      <c r="O18" s="27"/>
    </row>
    <row r="19" spans="1:15">
      <c r="A19" s="25"/>
      <c r="B19" s="26"/>
      <c r="C19" s="26"/>
      <c r="D19" s="26"/>
      <c r="E19" s="25"/>
      <c r="F19" s="25"/>
      <c r="G19" s="27"/>
      <c r="I19" s="25"/>
      <c r="K19" s="26"/>
      <c r="L19" s="26"/>
      <c r="M19" s="25"/>
      <c r="N19" s="25"/>
      <c r="O19" s="27"/>
    </row>
    <row r="20" spans="1:15">
      <c r="A20" s="25"/>
      <c r="B20" s="26"/>
      <c r="C20" s="26"/>
      <c r="D20" s="26"/>
      <c r="E20" s="25"/>
      <c r="F20" s="25"/>
      <c r="G20" s="27"/>
      <c r="I20" s="25"/>
      <c r="K20" s="26"/>
      <c r="L20" s="26"/>
      <c r="M20" s="25"/>
      <c r="N20" s="25"/>
      <c r="O20" s="27"/>
    </row>
    <row r="21" spans="1:15" ht="15.75" customHeight="1">
      <c r="A21" s="25"/>
      <c r="B21" s="26"/>
      <c r="C21" s="26"/>
      <c r="D21" s="26"/>
      <c r="E21" s="25"/>
      <c r="F21" s="25"/>
      <c r="G21" s="27"/>
      <c r="I21" s="25"/>
      <c r="K21" s="26"/>
      <c r="L21" s="26"/>
      <c r="M21" s="25"/>
      <c r="N21" s="25"/>
      <c r="O21" s="27"/>
    </row>
    <row r="22" spans="1:15" ht="15.75" customHeight="1">
      <c r="A22" s="25"/>
      <c r="B22" s="26"/>
      <c r="C22" s="26"/>
      <c r="D22" s="26"/>
      <c r="E22" s="25"/>
      <c r="F22" s="25"/>
      <c r="G22" s="27"/>
      <c r="I22" s="25"/>
      <c r="K22" s="26"/>
      <c r="L22" s="26"/>
      <c r="M22" s="25"/>
      <c r="N22" s="25"/>
      <c r="O22" s="27"/>
    </row>
    <row r="23" spans="1:15" ht="15.75" customHeight="1">
      <c r="A23" s="25"/>
      <c r="B23" s="26"/>
      <c r="C23" s="26"/>
      <c r="D23" s="26"/>
      <c r="E23" s="25"/>
      <c r="F23" s="25"/>
      <c r="G23" s="27"/>
      <c r="I23" s="25"/>
      <c r="K23" s="26"/>
      <c r="L23" s="26"/>
      <c r="M23" s="25"/>
      <c r="N23" s="25"/>
      <c r="O23" s="27"/>
    </row>
    <row r="24" spans="1:15" ht="15.75" customHeight="1">
      <c r="A24" s="25"/>
      <c r="B24" s="26"/>
      <c r="C24" s="26"/>
      <c r="D24" s="26"/>
      <c r="E24" s="25"/>
      <c r="F24" s="25"/>
      <c r="G24" s="27"/>
      <c r="I24" s="25"/>
      <c r="K24" s="26"/>
      <c r="L24" s="26"/>
      <c r="M24" s="25"/>
      <c r="N24" s="25"/>
      <c r="O24" s="27"/>
    </row>
    <row r="25" spans="1:15" ht="15.75" customHeight="1">
      <c r="A25" s="25"/>
      <c r="B25" s="26"/>
      <c r="C25" s="26"/>
      <c r="D25" s="26"/>
      <c r="E25" s="25"/>
      <c r="F25" s="25"/>
      <c r="G25" s="27"/>
      <c r="I25" s="25"/>
      <c r="K25" s="26"/>
      <c r="L25" s="26"/>
      <c r="M25" s="25"/>
      <c r="N25" s="25"/>
      <c r="O25" s="27"/>
    </row>
    <row r="26" spans="1:15" ht="15.75" customHeight="1">
      <c r="A26" s="25"/>
      <c r="B26" s="26"/>
      <c r="C26" s="26"/>
      <c r="D26" s="26"/>
      <c r="E26" s="25"/>
      <c r="F26" s="25"/>
      <c r="G26" s="27"/>
      <c r="I26" s="25"/>
      <c r="K26" s="26"/>
      <c r="L26" s="26"/>
      <c r="M26" s="25"/>
      <c r="N26" s="25"/>
      <c r="O26" s="27"/>
    </row>
    <row r="27" spans="1:15" ht="15.75" customHeight="1">
      <c r="A27" s="25"/>
      <c r="B27" s="26"/>
      <c r="C27" s="26"/>
      <c r="D27" s="26"/>
      <c r="E27" s="25"/>
      <c r="F27" s="25"/>
      <c r="G27" s="27"/>
      <c r="I27" s="25"/>
      <c r="K27" s="26"/>
      <c r="L27" s="26"/>
      <c r="M27" s="25"/>
      <c r="N27" s="25"/>
      <c r="O27" s="27"/>
    </row>
    <row r="28" spans="1:15" ht="15.75" customHeight="1">
      <c r="A28" s="25"/>
      <c r="B28" s="26"/>
      <c r="C28" s="26"/>
      <c r="D28" s="26"/>
      <c r="E28" s="25"/>
      <c r="F28" s="25"/>
      <c r="G28" s="27"/>
      <c r="I28" s="25"/>
      <c r="K28" s="26"/>
      <c r="L28" s="26"/>
      <c r="M28" s="25"/>
      <c r="N28" s="25"/>
      <c r="O28" s="27"/>
    </row>
    <row r="29" spans="1:15" ht="15.75" customHeight="1">
      <c r="A29" s="25"/>
      <c r="B29" s="26"/>
      <c r="C29" s="26"/>
      <c r="D29" s="26"/>
      <c r="E29" s="25"/>
      <c r="F29" s="25"/>
      <c r="G29" s="27"/>
      <c r="I29" s="25"/>
      <c r="K29" s="26"/>
      <c r="L29" s="26"/>
      <c r="M29" s="25"/>
      <c r="N29" s="25"/>
      <c r="O29" s="27"/>
    </row>
    <row r="30" spans="1:15" ht="15.75" customHeight="1">
      <c r="A30" s="25"/>
      <c r="B30" s="26"/>
      <c r="C30" s="26"/>
      <c r="D30" s="26"/>
      <c r="E30" s="25"/>
      <c r="F30" s="25"/>
      <c r="G30" s="27"/>
      <c r="I30" s="25"/>
      <c r="K30" s="26"/>
      <c r="L30" s="26"/>
      <c r="M30" s="25"/>
      <c r="N30" s="25"/>
      <c r="O30" s="27"/>
    </row>
    <row r="31" spans="1:15" ht="15.75" customHeight="1">
      <c r="A31" s="25"/>
      <c r="B31" s="26"/>
      <c r="C31" s="26"/>
      <c r="D31" s="26"/>
      <c r="E31" s="25"/>
      <c r="F31" s="25"/>
      <c r="G31" s="27"/>
      <c r="I31" s="25"/>
      <c r="K31" s="26"/>
      <c r="L31" s="26"/>
      <c r="M31" s="25"/>
      <c r="N31" s="25"/>
      <c r="O31" s="27"/>
    </row>
    <row r="32" spans="1:15" ht="15.75" customHeight="1">
      <c r="A32" s="25"/>
      <c r="B32" s="26"/>
      <c r="C32" s="26"/>
      <c r="D32" s="26"/>
      <c r="E32" s="25"/>
      <c r="F32" s="25"/>
      <c r="G32" s="27"/>
      <c r="I32" s="25"/>
      <c r="K32" s="26"/>
      <c r="L32" s="26"/>
      <c r="M32" s="25"/>
      <c r="N32" s="25"/>
      <c r="O32" s="27"/>
    </row>
    <row r="33" spans="1:17" ht="15.75" customHeight="1">
      <c r="A33" s="25"/>
      <c r="B33" s="26"/>
      <c r="C33" s="26"/>
      <c r="D33" s="26"/>
      <c r="E33" s="25"/>
      <c r="F33" s="25"/>
      <c r="G33" s="27"/>
      <c r="I33" s="25"/>
      <c r="K33" s="26"/>
      <c r="L33" s="26"/>
      <c r="M33" s="25"/>
      <c r="N33" s="25"/>
      <c r="O33" s="27"/>
    </row>
    <row r="34" spans="1:17" ht="15.75" customHeight="1">
      <c r="A34" s="25"/>
      <c r="B34" s="26"/>
      <c r="C34" s="26"/>
      <c r="D34" s="26"/>
      <c r="E34" s="25"/>
      <c r="F34" s="25"/>
      <c r="G34" s="27"/>
      <c r="I34" s="25"/>
      <c r="K34" s="26"/>
      <c r="L34" s="26"/>
      <c r="M34" s="25"/>
      <c r="N34" s="25"/>
      <c r="O34" s="27"/>
    </row>
    <row r="35" spans="1:17" ht="15.75" customHeight="1">
      <c r="A35" s="25"/>
      <c r="B35" s="26"/>
      <c r="C35" s="26"/>
      <c r="D35" s="26"/>
      <c r="E35" s="25"/>
      <c r="F35" s="25"/>
      <c r="G35" s="27"/>
      <c r="I35" s="25"/>
      <c r="K35" s="26"/>
      <c r="L35" s="26"/>
      <c r="M35" s="25"/>
      <c r="N35" s="25"/>
      <c r="O35" s="27"/>
    </row>
    <row r="36" spans="1:17" ht="15.75" customHeight="1">
      <c r="A36" s="25"/>
      <c r="B36" s="26"/>
      <c r="C36" s="26"/>
      <c r="D36" s="26"/>
      <c r="E36" s="25"/>
      <c r="F36" s="25"/>
      <c r="G36" s="27"/>
      <c r="I36" s="25"/>
      <c r="K36" s="26"/>
      <c r="L36" s="26"/>
      <c r="M36" s="25"/>
      <c r="N36" s="25"/>
      <c r="O36" s="27"/>
    </row>
    <row r="37" spans="1:17" ht="15.75" customHeight="1">
      <c r="A37" s="25"/>
      <c r="B37" s="26"/>
      <c r="C37" s="26"/>
      <c r="D37" s="26"/>
      <c r="E37" s="25"/>
      <c r="F37" s="25"/>
      <c r="G37" s="27"/>
      <c r="I37" s="25"/>
      <c r="K37" s="26"/>
      <c r="L37" s="26"/>
      <c r="M37" s="25"/>
      <c r="N37" s="25"/>
      <c r="O37" s="27"/>
    </row>
    <row r="38" spans="1:17" ht="15.75" customHeight="1">
      <c r="A38" s="25"/>
      <c r="B38" s="26"/>
      <c r="C38" s="26"/>
      <c r="D38" s="26"/>
      <c r="E38" s="25"/>
      <c r="F38" s="25"/>
      <c r="G38" s="27"/>
      <c r="I38" s="25"/>
      <c r="K38" s="26"/>
      <c r="L38" s="26"/>
      <c r="M38" s="25"/>
      <c r="N38" s="25"/>
      <c r="O38" s="27"/>
    </row>
    <row r="39" spans="1:17" ht="15.75" customHeight="1">
      <c r="A39" s="25"/>
      <c r="B39" s="26"/>
      <c r="C39" s="26"/>
      <c r="D39" s="26"/>
      <c r="E39" s="25"/>
      <c r="F39" s="25"/>
      <c r="G39" s="27"/>
      <c r="I39" s="25"/>
      <c r="K39" s="26"/>
      <c r="L39" s="26"/>
      <c r="M39" s="25"/>
      <c r="N39" s="25"/>
      <c r="O39" s="27"/>
    </row>
    <row r="40" spans="1:17" ht="15.75" customHeight="1">
      <c r="A40" s="25"/>
      <c r="B40" s="26"/>
      <c r="C40" s="26"/>
      <c r="D40" s="26"/>
      <c r="E40" s="25"/>
      <c r="F40" s="25"/>
      <c r="G40" s="27"/>
      <c r="I40" s="25"/>
      <c r="K40" s="26"/>
      <c r="L40" s="26"/>
      <c r="M40" s="25"/>
      <c r="N40" s="25"/>
      <c r="O40" s="27"/>
    </row>
    <row r="41" spans="1:17" ht="15.75" customHeight="1">
      <c r="A41" s="25"/>
      <c r="B41" s="26"/>
      <c r="C41" s="26"/>
      <c r="D41" s="26"/>
      <c r="E41" s="25"/>
      <c r="F41" s="25"/>
      <c r="G41" s="27"/>
      <c r="I41" s="25"/>
      <c r="K41" s="26"/>
      <c r="L41" s="26"/>
      <c r="M41" s="25"/>
      <c r="N41" s="25"/>
      <c r="O41" s="27"/>
    </row>
    <row r="42" spans="1:17" ht="15.75" customHeight="1">
      <c r="A42" s="25"/>
      <c r="B42" s="26"/>
      <c r="C42" s="26"/>
      <c r="D42" s="26"/>
      <c r="E42" s="25"/>
      <c r="F42" s="25"/>
      <c r="G42" s="27"/>
      <c r="I42" s="25"/>
      <c r="K42" s="26"/>
      <c r="L42" s="26"/>
      <c r="M42" s="25"/>
      <c r="N42" s="25"/>
      <c r="O42" s="27"/>
    </row>
    <row r="43" spans="1:17" ht="15.75" customHeight="1">
      <c r="A43" s="25"/>
      <c r="B43" s="26"/>
      <c r="C43" s="26"/>
      <c r="D43" s="26"/>
      <c r="E43" s="25"/>
      <c r="F43" s="25"/>
      <c r="G43" s="27"/>
      <c r="I43" s="25"/>
      <c r="K43" s="26"/>
      <c r="L43" s="26"/>
      <c r="M43" s="25"/>
      <c r="N43" s="25"/>
      <c r="O43" s="27"/>
    </row>
    <row r="44" spans="1:17" ht="15.75" customHeight="1">
      <c r="A44" s="25"/>
      <c r="B44" s="26"/>
      <c r="C44" s="26"/>
      <c r="D44" s="26"/>
      <c r="E44" s="25"/>
      <c r="F44" s="25"/>
      <c r="G44" s="27"/>
      <c r="I44" s="25"/>
      <c r="K44" s="26"/>
      <c r="L44" s="26"/>
      <c r="M44" s="25"/>
      <c r="N44" s="25"/>
      <c r="O44" s="27"/>
      <c r="Q44" s="2">
        <f>COUNT(J3:J52)</f>
        <v>0</v>
      </c>
    </row>
    <row r="45" spans="1:17" ht="15.75" customHeight="1">
      <c r="A45" s="25"/>
      <c r="B45" s="26"/>
      <c r="C45" s="26"/>
      <c r="D45" s="26"/>
      <c r="E45" s="25"/>
      <c r="F45" s="25"/>
      <c r="G45" s="27"/>
      <c r="I45" s="25"/>
      <c r="K45" s="26"/>
      <c r="L45" s="26"/>
      <c r="M45" s="25"/>
      <c r="N45" s="25"/>
      <c r="O45" s="27"/>
    </row>
    <row r="46" spans="1:17" ht="15.75" customHeight="1">
      <c r="A46" s="25"/>
      <c r="B46" s="26"/>
      <c r="C46" s="26"/>
      <c r="D46" s="26"/>
      <c r="E46" s="25"/>
      <c r="F46" s="25"/>
      <c r="G46" s="27"/>
      <c r="I46" s="25"/>
      <c r="K46" s="26"/>
      <c r="L46" s="26"/>
      <c r="M46" s="25"/>
      <c r="N46" s="25"/>
      <c r="O46" s="27"/>
    </row>
    <row r="47" spans="1:17" ht="15.75" customHeight="1">
      <c r="A47" s="25"/>
      <c r="B47" s="26"/>
      <c r="C47" s="26"/>
      <c r="D47" s="26"/>
      <c r="E47" s="25"/>
      <c r="F47" s="25"/>
      <c r="G47" s="27"/>
      <c r="I47" s="25"/>
      <c r="K47" s="26"/>
      <c r="L47" s="26"/>
      <c r="M47" s="25"/>
      <c r="N47" s="25"/>
      <c r="O47" s="27"/>
    </row>
    <row r="48" spans="1:17" ht="15.75" customHeight="1">
      <c r="A48" s="25"/>
      <c r="B48" s="26"/>
      <c r="C48" s="26"/>
      <c r="D48" s="26"/>
      <c r="E48" s="25"/>
      <c r="F48" s="25"/>
      <c r="G48" s="27"/>
      <c r="I48" s="25"/>
      <c r="K48" s="26"/>
      <c r="L48" s="26"/>
      <c r="M48" s="25"/>
      <c r="N48" s="25"/>
      <c r="O48" s="27"/>
    </row>
    <row r="49" spans="1:15" ht="15.75" customHeight="1">
      <c r="A49" s="25"/>
      <c r="B49" s="26"/>
      <c r="C49" s="26"/>
      <c r="D49" s="26"/>
      <c r="E49" s="25"/>
      <c r="F49" s="25"/>
      <c r="G49" s="27"/>
      <c r="I49" s="25"/>
      <c r="K49" s="26"/>
      <c r="L49" s="26"/>
      <c r="M49" s="25"/>
      <c r="N49" s="25"/>
      <c r="O49" s="27"/>
    </row>
    <row r="50" spans="1:15" ht="15.75" customHeight="1">
      <c r="A50" s="25"/>
      <c r="B50" s="26"/>
      <c r="C50" s="26"/>
      <c r="D50" s="26"/>
      <c r="E50" s="25"/>
      <c r="F50" s="25"/>
      <c r="G50" s="27"/>
      <c r="I50" s="25"/>
      <c r="K50" s="26"/>
      <c r="L50" s="26"/>
      <c r="M50" s="25"/>
      <c r="N50" s="25"/>
      <c r="O50" s="27"/>
    </row>
    <row r="51" spans="1:15" ht="15.75" customHeight="1">
      <c r="A51" s="25"/>
      <c r="B51" s="26"/>
      <c r="C51" s="26"/>
      <c r="D51" s="26"/>
      <c r="E51" s="25"/>
      <c r="F51" s="25"/>
      <c r="G51" s="27"/>
      <c r="I51" s="25"/>
      <c r="K51" s="26"/>
      <c r="L51" s="26"/>
      <c r="M51" s="25"/>
      <c r="N51" s="25"/>
      <c r="O51" s="27"/>
    </row>
    <row r="52" spans="1:15" ht="15.75" customHeight="1">
      <c r="I52" s="25"/>
      <c r="K52" s="26"/>
      <c r="L52" s="26"/>
      <c r="M52" s="25"/>
      <c r="N52" s="25"/>
      <c r="O52" s="27"/>
    </row>
    <row r="53" spans="1:15" ht="15.75" customHeight="1"/>
    <row r="54" spans="1:15" ht="15.75" customHeight="1"/>
    <row r="55" spans="1:15" ht="15.75" customHeight="1"/>
    <row r="56" spans="1:15" ht="15.75" customHeight="1"/>
    <row r="57" spans="1:15" ht="15.75" customHeight="1"/>
    <row r="58" spans="1:15" ht="15.75" customHeight="1"/>
    <row r="59" spans="1:15" ht="15.75" customHeight="1"/>
    <row r="60" spans="1:15" ht="15.75" customHeight="1"/>
    <row r="61" spans="1:15" ht="15.75" customHeight="1"/>
    <row r="62" spans="1:15" ht="15.75" customHeight="1"/>
    <row r="63" spans="1:15" ht="15.75" customHeight="1"/>
    <row r="64" spans="1:1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/>
  <cols>
    <col min="1" max="26" width="7.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Que-1 to 3</vt:lpstr>
      <vt:lpstr>Sheet1</vt:lpstr>
      <vt:lpstr>Sheet1 (1)</vt:lpstr>
      <vt:lpstr>Sheet2</vt:lpstr>
      <vt:lpstr>Sheet6</vt:lpstr>
      <vt:lpstr>Sheet7</vt:lpstr>
      <vt:lpstr>Sheet8</vt:lpstr>
      <vt:lpstr>ques 4,5,6,7,8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ojha</dc:creator>
  <cp:lastModifiedBy>ojha</cp:lastModifiedBy>
  <dcterms:created xsi:type="dcterms:W3CDTF">2025-12-03T05:18:00Z</dcterms:created>
  <dcterms:modified xsi:type="dcterms:W3CDTF">2025-12-04T09:49:43Z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62BA12DD00C04AC292B2F9855919A19A_12</vt:lpwstr>
  </property>
  <property fmtid="{D5CDD505-2E9C-101B-9397-08002B2CF9AE}" pid="3" name="KSOProductBuildVer">
    <vt:lpwstr>1033-12.2.0.23155</vt:lpwstr>
  </property>
</Properties>
</file>