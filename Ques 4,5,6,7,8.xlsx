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1" activeTab="5"/>
  </bookViews>
  <sheets>
    <sheet name="Sheet1" sheetId="1" r:id="rId1"/>
    <sheet name="Sheet2" sheetId="6" r:id="rId2"/>
    <sheet name="Sheet6" sheetId="7" r:id="rId3"/>
    <sheet name="Sheet7" sheetId="8" r:id="rId4"/>
    <sheet name="Sheet8" sheetId="9" r:id="rId5"/>
    <sheet name="ques 4,5,6,7,8" sheetId="2" r:id="rId6"/>
    <sheet name="Sheet3" sheetId="3" r:id="rId7"/>
    <sheet name="Sheet4" sheetId="4" r:id="rId8"/>
    <sheet name="Sheet5" sheetId="5" r:id="rId9"/>
  </sheets>
  <calcPr calcId="191029"/>
  <pivotCaches>
    <pivotCache cacheId="0" r:id="rId10"/>
    <pivotCache cacheId="1" r:id="rId11"/>
    <pivotCache cacheId="2" r:id="rId12"/>
    <pivotCache cacheId="3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<sst xmlns="http://schemas.openxmlformats.org/spreadsheetml/2006/main" count="302" uniqueCount="166">
  <si>
    <t xml:space="preserve">Q1 </t>
  </si>
  <si>
    <t>Explain the difference between Relative , Absolute and Mixed Cell Referencing.</t>
  </si>
  <si>
    <t>ans=</t>
  </si>
  <si>
    <t>1. Relative Cell Referencing</t>
  </si>
  <si>
    <r>
      <rPr>
        <b/>
        <sz val="11"/>
        <color theme="1"/>
        <rFont val="Calibri"/>
        <charset val="134"/>
        <scheme val="minor"/>
      </rPr>
      <t>Definition:</t>
    </r>
    <r>
      <rPr>
        <sz val="11"/>
        <color theme="1"/>
        <rFont val="Calibri"/>
        <charset val="134"/>
        <scheme val="minor"/>
      </rPr>
      <t xml:space="preserve"> Cell references that change automatically when a formula is copied to another cell.</t>
    </r>
  </si>
  <si>
    <r>
      <rPr>
        <b/>
        <sz val="11"/>
        <color theme="1"/>
        <rFont val="Calibri"/>
        <charset val="134"/>
        <scheme val="minor"/>
      </rPr>
      <t>Format:</t>
    </r>
    <r>
      <rPr>
        <sz val="11"/>
        <color theme="1"/>
        <rFont val="Calibri"/>
        <charset val="134"/>
        <scheme val="minor"/>
      </rPr>
      <t xml:space="preserve"> A1, B2, C5 (no dollar signs)</t>
    </r>
  </si>
  <si>
    <t>s.no</t>
  </si>
  <si>
    <t>s name</t>
  </si>
  <si>
    <t xml:space="preserve">math </t>
  </si>
  <si>
    <t>physics</t>
  </si>
  <si>
    <t>chemistry</t>
  </si>
  <si>
    <t>total p+c+m</t>
  </si>
  <si>
    <t>Rohit</t>
  </si>
  <si>
    <t>Example:</t>
  </si>
  <si>
    <t>Rahul</t>
  </si>
  <si>
    <r>
      <rPr>
        <sz val="11"/>
        <color theme="1"/>
        <rFont val="Calibri"/>
        <charset val="134"/>
        <scheme val="minor"/>
      </rPr>
      <t xml:space="preserve">If you enter in C1 → </t>
    </r>
    <r>
      <rPr>
        <sz val="10"/>
        <color theme="1"/>
        <rFont val="Arial Unicode MS"/>
        <charset val="134"/>
      </rPr>
      <t>=A1 + B1</t>
    </r>
  </si>
  <si>
    <r>
      <rPr>
        <sz val="11"/>
        <color theme="1"/>
        <rFont val="Calibri"/>
        <charset val="134"/>
        <scheme val="minor"/>
      </rPr>
      <t xml:space="preserve">and copy it to C2, it becomes → </t>
    </r>
    <r>
      <rPr>
        <sz val="10"/>
        <color theme="1"/>
        <rFont val="Arial Unicode MS"/>
        <charset val="134"/>
      </rPr>
      <t>=A2 + B2</t>
    </r>
  </si>
  <si>
    <r>
      <rPr>
        <sz val="11"/>
        <color theme="1"/>
        <rFont val="Calibri"/>
        <charset val="134"/>
        <scheme val="minor"/>
      </rPr>
      <t xml:space="preserve">📌 </t>
    </r>
    <r>
      <rPr>
        <b/>
        <sz val="11"/>
        <color theme="1"/>
        <rFont val="Calibri"/>
        <charset val="134"/>
        <scheme val="minor"/>
      </rPr>
      <t>Use when you want the formula to adjust to its new location.</t>
    </r>
  </si>
  <si>
    <t>2. Absolute Cell Referencing</t>
  </si>
  <si>
    <r>
      <rPr>
        <b/>
        <sz val="11"/>
        <color theme="1"/>
        <rFont val="Calibri"/>
        <charset val="134"/>
        <scheme val="minor"/>
      </rPr>
      <t>Definition:</t>
    </r>
    <r>
      <rPr>
        <sz val="11"/>
        <color theme="1"/>
        <rFont val="Calibri"/>
        <charset val="134"/>
        <scheme val="minor"/>
      </rPr>
      <t xml:space="preserve"> A fixed reference that does </t>
    </r>
    <r>
      <rPr>
        <b/>
        <sz val="11"/>
        <color theme="1"/>
        <rFont val="Calibri"/>
        <charset val="134"/>
        <scheme val="minor"/>
      </rPr>
      <t>not change</t>
    </r>
    <r>
      <rPr>
        <sz val="11"/>
        <color theme="1"/>
        <rFont val="Calibri"/>
        <charset val="134"/>
        <scheme val="minor"/>
      </rPr>
      <t xml:space="preserve"> when the formula is copied.</t>
    </r>
  </si>
  <si>
    <t>name</t>
  </si>
  <si>
    <t>total percent</t>
  </si>
  <si>
    <r>
      <rPr>
        <b/>
        <sz val="11"/>
        <color theme="1"/>
        <rFont val="Calibri"/>
        <charset val="134"/>
        <scheme val="minor"/>
      </rPr>
      <t>Format:</t>
    </r>
    <r>
      <rPr>
        <sz val="11"/>
        <color theme="1"/>
        <rFont val="Calibri"/>
        <charset val="134"/>
        <scheme val="minor"/>
      </rPr>
      <t xml:space="preserve"> </t>
    </r>
    <r>
      <rPr>
        <sz val="10"/>
        <color theme="1"/>
        <rFont val="Arial Unicode MS"/>
        <charset val="134"/>
      </rPr>
      <t>$A$1</t>
    </r>
    <r>
      <rPr>
        <sz val="11"/>
        <color theme="1"/>
        <rFont val="Calibri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$B$2</t>
    </r>
    <r>
      <rPr>
        <sz val="11"/>
        <color theme="1"/>
        <rFont val="Calibri"/>
        <charset val="134"/>
        <scheme val="minor"/>
      </rPr>
      <t xml:space="preserve"> (both column and row are locked with </t>
    </r>
    <r>
      <rPr>
        <sz val="10"/>
        <color theme="1"/>
        <rFont val="Arial Unicode MS"/>
        <charset val="134"/>
      </rPr>
      <t>$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</si>
  <si>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 xml:space="preserve">If C1 contains </t>
    </r>
    <r>
      <rPr>
        <sz val="10"/>
        <color theme="1"/>
        <rFont val="Arial Unicode MS"/>
        <charset val="134"/>
      </rPr>
      <t>=A1 * $B$1</t>
    </r>
  </si>
  <si>
    <t>total no of marks</t>
  </si>
  <si>
    <r>
      <rPr>
        <sz val="11"/>
        <color theme="1"/>
        <rFont val="Calibri"/>
        <charset val="134"/>
        <scheme val="minor"/>
      </rPr>
      <t xml:space="preserve">and you copy it to C2, it stays → </t>
    </r>
    <r>
      <rPr>
        <sz val="10"/>
        <color theme="1"/>
        <rFont val="Arial Unicode MS"/>
        <charset val="134"/>
      </rPr>
      <t>=A2 * $B$1</t>
    </r>
  </si>
  <si>
    <t>3. Mixed Cell Referencing</t>
  </si>
  <si>
    <r>
      <rPr>
        <b/>
        <sz val="11"/>
        <color theme="1"/>
        <rFont val="Calibri"/>
        <charset val="134"/>
        <scheme val="minor"/>
      </rPr>
      <t>Definition:</t>
    </r>
    <r>
      <rPr>
        <sz val="11"/>
        <color theme="1"/>
        <rFont val="Calibri"/>
        <charset val="134"/>
        <scheme val="minor"/>
      </rPr>
      <t xml:space="preserve"> A reference where </t>
    </r>
    <r>
      <rPr>
        <b/>
        <sz val="11"/>
        <color theme="1"/>
        <rFont val="Calibri"/>
        <charset val="134"/>
        <scheme val="minor"/>
      </rPr>
      <t>either the row or the column is fixed</t>
    </r>
    <r>
      <rPr>
        <sz val="11"/>
        <color theme="1"/>
        <rFont val="Calibri"/>
        <charset val="134"/>
        <scheme val="minor"/>
      </rPr>
      <t>, but not both.</t>
    </r>
  </si>
  <si>
    <t>Formats:</t>
  </si>
  <si>
    <r>
      <rPr>
        <sz val="10"/>
        <color theme="1"/>
        <rFont val="Arial Unicode MS"/>
        <charset val="134"/>
      </rPr>
      <t>$A1</t>
    </r>
    <r>
      <rPr>
        <sz val="11"/>
        <color theme="1"/>
        <rFont val="Calibri"/>
        <charset val="134"/>
        <scheme val="minor"/>
      </rPr>
      <t xml:space="preserve"> → column A locked, row changes</t>
    </r>
  </si>
  <si>
    <t>%math</t>
  </si>
  <si>
    <t>% physics</t>
  </si>
  <si>
    <t>%chemistry</t>
  </si>
  <si>
    <r>
      <rPr>
        <sz val="10"/>
        <color theme="1"/>
        <rFont val="Arial Unicode MS"/>
        <charset val="134"/>
      </rPr>
      <t>A$1</t>
    </r>
    <r>
      <rPr>
        <sz val="11"/>
        <color theme="1"/>
        <rFont val="Calibri"/>
        <charset val="134"/>
        <scheme val="minor"/>
      </rPr>
      <t xml:space="preserve"> → row 1 locked, column changes</t>
    </r>
  </si>
  <si>
    <r>
      <rPr>
        <sz val="11"/>
        <color theme="1"/>
        <rFont val="Calibri"/>
        <charset val="134"/>
        <scheme val="minor"/>
      </rPr>
      <t xml:space="preserve">If you use </t>
    </r>
    <r>
      <rPr>
        <sz val="10"/>
        <color theme="1"/>
        <rFont val="Arial Unicode MS"/>
        <charset val="134"/>
      </rPr>
      <t>=$A1</t>
    </r>
    <r>
      <rPr>
        <sz val="11"/>
        <color theme="1"/>
        <rFont val="Calibri"/>
        <charset val="134"/>
        <scheme val="minor"/>
      </rPr>
      <t xml:space="preserve"> in a row and copy across columns, A stays the same but the row adjusts.</t>
    </r>
  </si>
  <si>
    <r>
      <rPr>
        <sz val="11"/>
        <color theme="1"/>
        <rFont val="Calibri"/>
        <charset val="134"/>
        <scheme val="minor"/>
      </rPr>
      <t xml:space="preserve">📌 </t>
    </r>
    <r>
      <rPr>
        <b/>
        <sz val="11"/>
        <color theme="1"/>
        <rFont val="Calibri"/>
        <charset val="134"/>
        <scheme val="minor"/>
      </rPr>
      <t>Use when copying formulas across rows or columns while keeping one part fixed.</t>
    </r>
  </si>
  <si>
    <t>In summary</t>
  </si>
  <si>
    <t>Reference Type</t>
  </si>
  <si>
    <t>Example</t>
  </si>
  <si>
    <t>Column Locked?</t>
  </si>
  <si>
    <t>Row Locked?</t>
  </si>
  <si>
    <t>Changes When Copied?</t>
  </si>
  <si>
    <t>Relative</t>
  </si>
  <si>
    <t>A1</t>
  </si>
  <si>
    <t>❌</t>
  </si>
  <si>
    <t>✔️ Yes</t>
  </si>
  <si>
    <t>Absolute</t>
  </si>
  <si>
    <t>$A$1</t>
  </si>
  <si>
    <t>✔️</t>
  </si>
  <si>
    <t>❌ No</t>
  </si>
  <si>
    <t>Mixed</t>
  </si>
  <si>
    <t>$A1 / A$1</t>
  </si>
  <si>
    <t>✔️ or ❌</t>
  </si>
  <si>
    <t>❌ or ✔️</t>
  </si>
  <si>
    <t>Partially</t>
  </si>
  <si>
    <t>Q2</t>
  </si>
  <si>
    <t>Write a formula to calculate the total sales of Car and Bicyle only only.</t>
  </si>
  <si>
    <t>ans:</t>
  </si>
  <si>
    <t>vehical</t>
  </si>
  <si>
    <t>price</t>
  </si>
  <si>
    <t>Car</t>
  </si>
  <si>
    <t>Bicycle</t>
  </si>
  <si>
    <t>Auto-Rickshaw</t>
  </si>
  <si>
    <t>total sales of car and bicycle only</t>
  </si>
  <si>
    <t>Use by sum function</t>
  </si>
  <si>
    <t>Q3</t>
  </si>
  <si>
    <t>Using the data below, write a formula to calculate the average sales of items priced above 100 but less than</t>
  </si>
  <si>
    <t>then 300</t>
  </si>
  <si>
    <t>item</t>
  </si>
  <si>
    <t>sales</t>
  </si>
  <si>
    <t>Item A</t>
  </si>
  <si>
    <t>Item B</t>
  </si>
  <si>
    <t>Item C</t>
  </si>
  <si>
    <t xml:space="preserve">The average sales of item prices </t>
  </si>
  <si>
    <t>above 100 but less then 300</t>
  </si>
  <si>
    <t>Use Formula by(= AVERAGEIFS)</t>
  </si>
  <si>
    <t>Product</t>
  </si>
  <si>
    <t>Sum of Total Sales</t>
  </si>
  <si>
    <t>Eraser</t>
  </si>
  <si>
    <t>Marker</t>
  </si>
  <si>
    <t>Notebook</t>
  </si>
  <si>
    <t>Pen</t>
  </si>
  <si>
    <t>Pencil</t>
  </si>
  <si>
    <t>Grand Total</t>
  </si>
  <si>
    <t>OrderDate</t>
  </si>
  <si>
    <t>OrderID</t>
  </si>
  <si>
    <t>CustomerName</t>
  </si>
  <si>
    <t>Region</t>
  </si>
  <si>
    <t>Quantity</t>
  </si>
  <si>
    <t>UnitPrice</t>
  </si>
  <si>
    <t>Total Sales</t>
  </si>
  <si>
    <t>Amit Sharma</t>
  </si>
  <si>
    <t>North</t>
  </si>
  <si>
    <t>Que 4</t>
  </si>
  <si>
    <t>Count how many customer names are recorded</t>
  </si>
  <si>
    <t>Neha Verma</t>
  </si>
  <si>
    <t>South</t>
  </si>
  <si>
    <t>Ans :</t>
  </si>
  <si>
    <t>use the function</t>
  </si>
  <si>
    <t>(B2:B51)</t>
  </si>
  <si>
    <t>Rahul Singh</t>
  </si>
  <si>
    <t>East</t>
  </si>
  <si>
    <t>counta</t>
  </si>
  <si>
    <t>Pooja Mehta</t>
  </si>
  <si>
    <t>West</t>
  </si>
  <si>
    <t>Ankit Jain</t>
  </si>
  <si>
    <t>Que 5</t>
  </si>
  <si>
    <t>Calculate the Total Sales for each row using a formula.</t>
  </si>
  <si>
    <t>Sneha Patel</t>
  </si>
  <si>
    <t>Ans:</t>
  </si>
  <si>
    <t>total sales</t>
  </si>
  <si>
    <t>(E2:E51,F2:F51</t>
  </si>
  <si>
    <t>Vikas Gupta</t>
  </si>
  <si>
    <t>Use the Function sumproduct</t>
  </si>
  <si>
    <t>Meera Nair</t>
  </si>
  <si>
    <t>Anjali Rao</t>
  </si>
  <si>
    <t>Que 6</t>
  </si>
  <si>
    <t>Calculate the total sales of Notebooks in the North region only.</t>
  </si>
  <si>
    <t>Manoj Das</t>
  </si>
  <si>
    <t>use the function sumifs</t>
  </si>
  <si>
    <t>Ritika Sen</t>
  </si>
  <si>
    <t>(H2:H51,C2:C51,C2,D2:D51,D2)</t>
  </si>
  <si>
    <t>Karan Malhotra</t>
  </si>
  <si>
    <t>Aryan Joshi</t>
  </si>
  <si>
    <t>Que 7</t>
  </si>
  <si>
    <t>Create a column chart showing total sales by product</t>
  </si>
  <si>
    <t>Divya Kapoor</t>
  </si>
  <si>
    <t>Sahil Arora</t>
  </si>
  <si>
    <t>ans :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</si>
  <si>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</si>
  <si>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</si>
  <si>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</si>
  <si>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</si>
  <si>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</si>
  <si>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</si>
  <si>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</si>
  <si>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</si>
  <si>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</si>
  <si>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</si>
  <si>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</si>
  <si>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</si>
  <si>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</si>
  <si>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</si>
  <si>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</si>
  <si>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</si>
  <si>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</si>
  <si>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</si>
  <si>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</si>
  <si>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</si>
  <si>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Qus 8</t>
  </si>
  <si>
    <t>Insert a line chart showing daily sales trend.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</si>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</sst>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3.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9" applyNumberFormat="0" applyAlignment="0" applyProtection="0">
      <alignment vertical="center"/>
    </xf>
    <xf numFmtId="0" fontId="17" fillId="4" borderId="20" applyNumberFormat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5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14" fontId="0" fillId="0" borderId="0" xfId="0" applyNumberFormat="1"/>
    <xf numFmtId="9" fontId="3" fillId="0" borderId="0" xfId="3" applyFont="1"/>
    <xf numFmtId="0" fontId="3" fillId="0" borderId="0" xfId="0" applyFont="1"/>
    <xf numFmtId="0" fontId="3" fillId="0" borderId="0" xfId="0" applyFont="1"/>
    <xf numFmtId="0" fontId="0" fillId="0" borderId="0" xfId="0" applyNumberFormat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4" fillId="0" borderId="0" xfId="0" applyFont="1"/>
    <xf numFmtId="0" fontId="5" fillId="0" borderId="13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7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3" xfId="0" applyFont="1" applyBorder="1"/>
    <xf numFmtId="0" fontId="0" fillId="0" borderId="3" xfId="0" applyBorder="1"/>
    <xf numFmtId="0" fontId="3" fillId="0" borderId="0" xfId="0" applyFont="1" applyFill="1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3" applyFont="1"/>
    <xf numFmtId="9" fontId="0" fillId="0" borderId="3" xfId="3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2.xlsx rohit.xlsx]Sheet2!PivotTable1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</a:t>
            </a:r>
            <a:r>
              <a:rPr b="1"/>
              <a:t>um of total sales by Product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342380"/>
        <c:axId val="173804551"/>
      </c:barChart>
      <c:catAx>
        <c:axId val="1743423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804551"/>
        <c:crosses val="autoZero"/>
        <c:auto val="1"/>
        <c:lblAlgn val="ctr"/>
        <c:lblOffset val="100"/>
        <c:noMultiLvlLbl val="0"/>
      </c:catAx>
      <c:valAx>
        <c:axId val="173804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423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7359ed-6765-4a12-875c-795a299cc8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2.xlsx rohit.xlsx]Sheet6!PivotTable1</c:name>
    <c:fmtId val="0"/>
  </c:pivotSource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616978"/>
        <c:axId val="13326029"/>
      </c:barChart>
      <c:catAx>
        <c:axId val="9866169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26029"/>
        <c:crosses val="autoZero"/>
        <c:auto val="1"/>
        <c:lblAlgn val="ctr"/>
        <c:lblOffset val="100"/>
        <c:noMultiLvlLbl val="0"/>
      </c:catAx>
      <c:valAx>
        <c:axId val="133260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6169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2.xlsx rohit.xlsx]Sheet8!PivotTable3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Line Chart showing daily sales trend</a:t>
            </a:r>
          </a:p>
        </c:rich>
      </c:tx>
      <c:layout>
        <c:manualLayout>
          <c:xMode val="edge"/>
          <c:yMode val="edge"/>
          <c:x val="0.223223684210526"/>
          <c:y val="0.106944443451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Sheet8!$A$4:$A$54</c:f>
              <c:strCache>
                <c:ptCount val="50"/>
                <c:pt idx="0">
                  <c:v>2024-01-05</c:v>
                </c:pt>
                <c:pt idx="1">
                  <c:v>2024-01-06</c:v>
                </c:pt>
                <c:pt idx="2">
                  <c:v>2024-01-07</c:v>
                </c:pt>
                <c:pt idx="3">
                  <c:v>2024-01-08</c:v>
                </c:pt>
                <c:pt idx="4">
                  <c:v>2024-01-10</c:v>
                </c:pt>
                <c:pt idx="5">
                  <c:v>2024-01-11</c:v>
                </c:pt>
                <c:pt idx="6">
                  <c:v>2024-01-13</c:v>
                </c:pt>
                <c:pt idx="7">
                  <c:v>2024-01-15</c:v>
                </c:pt>
                <c:pt idx="8">
                  <c:v>2024-01-17</c:v>
                </c:pt>
                <c:pt idx="9">
                  <c:v>2024-01-18</c:v>
                </c:pt>
                <c:pt idx="10">
                  <c:v>2024-01-19</c:v>
                </c:pt>
                <c:pt idx="11">
                  <c:v>2024-01-20</c:v>
                </c:pt>
                <c:pt idx="12">
                  <c:v>2024-01-22</c:v>
                </c:pt>
                <c:pt idx="13">
                  <c:v>2024-01-23</c:v>
                </c:pt>
                <c:pt idx="14">
                  <c:v>2024-01-24</c:v>
                </c:pt>
                <c:pt idx="15">
                  <c:v>2024-01-26</c:v>
                </c:pt>
                <c:pt idx="16">
                  <c:v>2024-01-28</c:v>
                </c:pt>
                <c:pt idx="17">
                  <c:v>2024-01-29</c:v>
                </c:pt>
                <c:pt idx="18">
                  <c:v>2024-01-30</c:v>
                </c:pt>
                <c:pt idx="19">
                  <c:v>2024-02-01</c:v>
                </c:pt>
                <c:pt idx="20">
                  <c:v>2024-02-02</c:v>
                </c:pt>
                <c:pt idx="21">
                  <c:v>2024-02-03</c:v>
                </c:pt>
                <c:pt idx="22">
                  <c:v>2024-02-04</c:v>
                </c:pt>
                <c:pt idx="23">
                  <c:v>2024-02-06</c:v>
                </c:pt>
                <c:pt idx="24">
                  <c:v>2024-02-07</c:v>
                </c:pt>
                <c:pt idx="25">
                  <c:v>2024-02-08</c:v>
                </c:pt>
                <c:pt idx="26">
                  <c:v>2024-02-09</c:v>
                </c:pt>
                <c:pt idx="27">
                  <c:v>2024-02-10</c:v>
                </c:pt>
                <c:pt idx="28">
                  <c:v>2024-02-12</c:v>
                </c:pt>
                <c:pt idx="29">
                  <c:v>2024-02-13</c:v>
                </c:pt>
                <c:pt idx="30">
                  <c:v>2024-02-14</c:v>
                </c:pt>
                <c:pt idx="31">
                  <c:v>2024-02-16</c:v>
                </c:pt>
                <c:pt idx="32">
                  <c:v>2024-02-17</c:v>
                </c:pt>
                <c:pt idx="33">
                  <c:v>2024-02-18</c:v>
                </c:pt>
                <c:pt idx="34">
                  <c:v>2024-02-19</c:v>
                </c:pt>
                <c:pt idx="35">
                  <c:v>2024-02-21</c:v>
                </c:pt>
                <c:pt idx="36">
                  <c:v>2024-02-22</c:v>
                </c:pt>
                <c:pt idx="37">
                  <c:v>2024-02-23</c:v>
                </c:pt>
                <c:pt idx="38">
                  <c:v>2024-02-25</c:v>
                </c:pt>
                <c:pt idx="39">
                  <c:v>2024-02-26</c:v>
                </c:pt>
                <c:pt idx="40">
                  <c:v>2024-02-27</c:v>
                </c:pt>
                <c:pt idx="41">
                  <c:v>2024-02-28</c:v>
                </c:pt>
                <c:pt idx="42">
                  <c:v>2024-03-01</c:v>
                </c:pt>
                <c:pt idx="43">
                  <c:v>2024-03-02</c:v>
                </c:pt>
                <c:pt idx="44">
                  <c:v>2024-03-03</c:v>
                </c:pt>
                <c:pt idx="45">
                  <c:v>2024-03-04</c:v>
                </c:pt>
                <c:pt idx="46">
                  <c:v>2024-03-05</c:v>
                </c:pt>
                <c:pt idx="47">
                  <c:v>2024-03-06</c:v>
                </c:pt>
                <c:pt idx="48">
                  <c:v>2024-03-07</c:v>
                </c:pt>
                <c:pt idx="49">
                  <c:v>2024-03-08</c:v>
                </c:pt>
              </c:strCache>
            </c:strRef>
          </c:cat>
          <c:val>
            <c:numRef>
              <c:f>Sheet8!$B$4:$B$54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25526831"/>
        <c:axId val="470320590"/>
      </c:lineChart>
      <c:catAx>
        <c:axId val="4255268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320590"/>
        <c:crosses val="autoZero"/>
        <c:auto val="1"/>
        <c:lblAlgn val="ctr"/>
        <c:lblOffset val="100"/>
        <c:noMultiLvlLbl val="0"/>
      </c:catAx>
      <c:valAx>
        <c:axId val="4703205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52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2.xlsx rohit.xlsx]Sheet2!PivotTable1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</a:t>
            </a:r>
            <a:r>
              <a:rPr b="1"/>
              <a:t>um of total sales by Product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342380"/>
        <c:axId val="173804551"/>
      </c:barChart>
      <c:catAx>
        <c:axId val="1743423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804551"/>
        <c:crosses val="autoZero"/>
        <c:auto val="1"/>
        <c:lblAlgn val="ctr"/>
        <c:lblOffset val="100"/>
        <c:noMultiLvlLbl val="0"/>
      </c:catAx>
      <c:valAx>
        <c:axId val="173804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423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d6a24a-c346-4182-bd0b-db6c9139b3d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2.xlsx rohit.xlsx]Sheet8!PivotTable3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Line Chart showing daily sales trend</a:t>
            </a:r>
          </a:p>
        </c:rich>
      </c:tx>
      <c:layout>
        <c:manualLayout>
          <c:xMode val="edge"/>
          <c:yMode val="edge"/>
          <c:x val="0.223223684210526"/>
          <c:y val="0.106944443451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Sheet8!$A$4:$A$54</c:f>
              <c:strCache>
                <c:ptCount val="50"/>
                <c:pt idx="0">
                  <c:v>2024-01-05</c:v>
                </c:pt>
                <c:pt idx="1">
                  <c:v>2024-01-06</c:v>
                </c:pt>
                <c:pt idx="2">
                  <c:v>2024-01-07</c:v>
                </c:pt>
                <c:pt idx="3">
                  <c:v>2024-01-08</c:v>
                </c:pt>
                <c:pt idx="4">
                  <c:v>2024-01-10</c:v>
                </c:pt>
                <c:pt idx="5">
                  <c:v>2024-01-11</c:v>
                </c:pt>
                <c:pt idx="6">
                  <c:v>2024-01-13</c:v>
                </c:pt>
                <c:pt idx="7">
                  <c:v>2024-01-15</c:v>
                </c:pt>
                <c:pt idx="8">
                  <c:v>2024-01-17</c:v>
                </c:pt>
                <c:pt idx="9">
                  <c:v>2024-01-18</c:v>
                </c:pt>
                <c:pt idx="10">
                  <c:v>2024-01-19</c:v>
                </c:pt>
                <c:pt idx="11">
                  <c:v>2024-01-20</c:v>
                </c:pt>
                <c:pt idx="12">
                  <c:v>2024-01-22</c:v>
                </c:pt>
                <c:pt idx="13">
                  <c:v>2024-01-23</c:v>
                </c:pt>
                <c:pt idx="14">
                  <c:v>2024-01-24</c:v>
                </c:pt>
                <c:pt idx="15">
                  <c:v>2024-01-26</c:v>
                </c:pt>
                <c:pt idx="16">
                  <c:v>2024-01-28</c:v>
                </c:pt>
                <c:pt idx="17">
                  <c:v>2024-01-29</c:v>
                </c:pt>
                <c:pt idx="18">
                  <c:v>2024-01-30</c:v>
                </c:pt>
                <c:pt idx="19">
                  <c:v>2024-02-01</c:v>
                </c:pt>
                <c:pt idx="20">
                  <c:v>2024-02-02</c:v>
                </c:pt>
                <c:pt idx="21">
                  <c:v>2024-02-03</c:v>
                </c:pt>
                <c:pt idx="22">
                  <c:v>2024-02-04</c:v>
                </c:pt>
                <c:pt idx="23">
                  <c:v>2024-02-06</c:v>
                </c:pt>
                <c:pt idx="24">
                  <c:v>2024-02-07</c:v>
                </c:pt>
                <c:pt idx="25">
                  <c:v>2024-02-08</c:v>
                </c:pt>
                <c:pt idx="26">
                  <c:v>2024-02-09</c:v>
                </c:pt>
                <c:pt idx="27">
                  <c:v>2024-02-10</c:v>
                </c:pt>
                <c:pt idx="28">
                  <c:v>2024-02-12</c:v>
                </c:pt>
                <c:pt idx="29">
                  <c:v>2024-02-13</c:v>
                </c:pt>
                <c:pt idx="30">
                  <c:v>2024-02-14</c:v>
                </c:pt>
                <c:pt idx="31">
                  <c:v>2024-02-16</c:v>
                </c:pt>
                <c:pt idx="32">
                  <c:v>2024-02-17</c:v>
                </c:pt>
                <c:pt idx="33">
                  <c:v>2024-02-18</c:v>
                </c:pt>
                <c:pt idx="34">
                  <c:v>2024-02-19</c:v>
                </c:pt>
                <c:pt idx="35">
                  <c:v>2024-02-21</c:v>
                </c:pt>
                <c:pt idx="36">
                  <c:v>2024-02-22</c:v>
                </c:pt>
                <c:pt idx="37">
                  <c:v>2024-02-23</c:v>
                </c:pt>
                <c:pt idx="38">
                  <c:v>2024-02-25</c:v>
                </c:pt>
                <c:pt idx="39">
                  <c:v>2024-02-26</c:v>
                </c:pt>
                <c:pt idx="40">
                  <c:v>2024-02-27</c:v>
                </c:pt>
                <c:pt idx="41">
                  <c:v>2024-02-28</c:v>
                </c:pt>
                <c:pt idx="42">
                  <c:v>2024-03-01</c:v>
                </c:pt>
                <c:pt idx="43">
                  <c:v>2024-03-02</c:v>
                </c:pt>
                <c:pt idx="44">
                  <c:v>2024-03-03</c:v>
                </c:pt>
                <c:pt idx="45">
                  <c:v>2024-03-04</c:v>
                </c:pt>
                <c:pt idx="46">
                  <c:v>2024-03-05</c:v>
                </c:pt>
                <c:pt idx="47">
                  <c:v>2024-03-06</c:v>
                </c:pt>
                <c:pt idx="48">
                  <c:v>2024-03-07</c:v>
                </c:pt>
                <c:pt idx="49">
                  <c:v>2024-03-08</c:v>
                </c:pt>
              </c:strCache>
            </c:strRef>
          </c:cat>
          <c:val>
            <c:numRef>
              <c:f>Sheet8!$B$4:$B$54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425526831"/>
        <c:axId val="470320590"/>
      </c:lineChart>
      <c:catAx>
        <c:axId val="4255268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320590"/>
        <c:crosses val="autoZero"/>
        <c:auto val="1"/>
        <c:lblAlgn val="ctr"/>
        <c:lblOffset val="100"/>
        <c:noMultiLvlLbl val="0"/>
      </c:catAx>
      <c:valAx>
        <c:axId val="4703205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52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f5fc3c-18b1-4a1b-8dcb-9faf7d1c50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174625</xdr:colOff>
      <xdr:row>6</xdr:row>
      <xdr:rowOff>116840</xdr:rowOff>
    </xdr:from>
    <xdr:to>
      <xdr:col>13</xdr:col>
      <xdr:colOff>85725</xdr:colOff>
      <xdr:row>18</xdr:row>
      <xdr:rowOff>3810</xdr:rowOff>
    </xdr:to>
    <xdr:graphicFrame>
      <xdr:nvGraphicFramePr>
        <xdr:cNvPr id="2" name="Chart 1"/>
        <xdr:cNvGraphicFramePr/>
      </xdr:nvGraphicFramePr>
      <xdr:xfrm>
        <a:off x="4051300" y="1259840"/>
        <a:ext cx="4787900" cy="2172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50800</xdr:colOff>
      <xdr:row>4</xdr:row>
      <xdr:rowOff>12700</xdr:rowOff>
    </xdr:from>
    <xdr:to>
      <xdr:col>14</xdr:col>
      <xdr:colOff>0</xdr:colOff>
      <xdr:row>18</xdr:row>
      <xdr:rowOff>88900</xdr:rowOff>
    </xdr:to>
    <xdr:graphicFrame>
      <xdr:nvGraphicFramePr>
        <xdr:cNvPr id="2" name="Chart 1"/>
        <xdr:cNvGraphicFramePr/>
      </xdr:nvGraphicFramePr>
      <xdr:xfrm>
        <a:off x="3708400" y="774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403225</xdr:colOff>
      <xdr:row>2</xdr:row>
      <xdr:rowOff>52070</xdr:rowOff>
    </xdr:from>
    <xdr:to>
      <xdr:col>14</xdr:col>
      <xdr:colOff>352425</xdr:colOff>
      <xdr:row>19</xdr:row>
      <xdr:rowOff>99060</xdr:rowOff>
    </xdr:to>
    <xdr:graphicFrame>
      <xdr:nvGraphicFramePr>
        <xdr:cNvPr id="2" name="Chart 1"/>
        <xdr:cNvGraphicFramePr/>
      </xdr:nvGraphicFramePr>
      <xdr:xfrm>
        <a:off x="4946650" y="433070"/>
        <a:ext cx="4826000" cy="3285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24</xdr:row>
      <xdr:rowOff>0</xdr:rowOff>
    </xdr:from>
    <xdr:to>
      <xdr:col>18</xdr:col>
      <xdr:colOff>6350</xdr:colOff>
      <xdr:row>34</xdr:row>
      <xdr:rowOff>77470</xdr:rowOff>
    </xdr:to>
    <xdr:graphicFrame>
      <xdr:nvGraphicFramePr>
        <xdr:cNvPr id="2" name="Chart 1"/>
        <xdr:cNvGraphicFramePr/>
      </xdr:nvGraphicFramePr>
      <xdr:xfrm>
        <a:off x="6477000" y="5029200"/>
        <a:ext cx="4787900" cy="2172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37</xdr:row>
      <xdr:rowOff>0</xdr:rowOff>
    </xdr:from>
    <xdr:to>
      <xdr:col>18</xdr:col>
      <xdr:colOff>44450</xdr:colOff>
      <xdr:row>52</xdr:row>
      <xdr:rowOff>142240</xdr:rowOff>
    </xdr:to>
    <xdr:graphicFrame>
      <xdr:nvGraphicFramePr>
        <xdr:cNvPr id="3" name="Chart 2"/>
        <xdr:cNvGraphicFramePr/>
      </xdr:nvGraphicFramePr>
      <xdr:xfrm>
        <a:off x="6477000" y="7753350"/>
        <a:ext cx="4826000" cy="3285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5.4925810185" refreshedBy="ojha" recordCount="5">
  <cacheSource type="worksheet">
    <worksheetSource ref="K16:L21" sheet="ques 4,5,6,7,8"/>
  </cacheSource>
  <cacheFields count="2">
    <cacheField name="Product" numFmtId="0">
      <sharedItems count="5">
        <s v="Notebook"/>
        <s v="Pen"/>
        <s v="Marker"/>
        <s v="Pencil"/>
        <s v="Eraser"/>
      </sharedItems>
    </cacheField>
    <cacheField name="Total Sales" numFmtId="0">
      <sharedItems containsSemiMixedTypes="0" containsString="0" containsNumber="1" containsInteger="1" minValue="0" maxValue="7550" count="5">
        <n v="7550"/>
        <n v="2180"/>
        <n v="3650"/>
        <n v="1235"/>
        <n v="192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5.5625694444" refreshedBy="ojha" recordCount="50">
  <cacheSource type="worksheet">
    <worksheetSource ref="G1:G51" sheet="ques 4,5,6,7,8"/>
  </cacheSource>
  <cacheFields count="1">
    <cacheField name="OrderDate" numFmtId="14">
      <sharedItems containsSemiMixedTypes="0" containsString="0" containsNonDate="0" containsDate="1" minDate="2024-01-05T00:00:00" maxDate="2024-03-08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5.5629861111" refreshedBy="ojha" recordCount="50">
  <cacheSource type="worksheet">
    <worksheetSource ref="H1:H51" sheet="ques 4,5,6,7,8"/>
  </cacheSource>
  <cacheFields count="1">
    <cacheField name="Total Sales" numFmtId="0">
      <sharedItems containsSemiMixedTypes="0" containsString="0" containsNumber="1" containsInteger="1" minValue="90" maxValue="850" count="34">
        <n v="500"/>
        <n v="200"/>
        <n v="375"/>
        <n v="250"/>
        <n v="150"/>
        <n v="600"/>
        <n v="180"/>
        <n v="550"/>
        <n v="400"/>
        <n v="280"/>
        <n v="700"/>
        <n v="300"/>
        <n v="125"/>
        <n v="160"/>
        <n v="450"/>
        <n v="175"/>
        <n v="240"/>
        <n v="140"/>
        <n v="110"/>
        <n v="216"/>
        <n v="650"/>
        <n v="320"/>
        <n v="90"/>
        <n v="176"/>
        <n v="850"/>
        <n v="190"/>
        <n v="192"/>
        <n v="800"/>
        <n v="270"/>
        <n v="525"/>
        <n v="208"/>
        <n v="425"/>
        <n v="95"/>
        <n v="256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5.5634953704" refreshedBy="ojha" recordCount="50">
  <cacheSource type="worksheet">
    <worksheetSource ref="G1:H51" sheet="ques 4,5,6,7,8"/>
  </cacheSource>
  <cacheFields count="2">
    <cacheField name="OrderDate" numFmtId="14">
      <sharedItems containsSemiMixedTypes="0" containsString="0" containsNonDate="0" containsDate="1" minDate="2024-01-05T00:00:00" maxDate="2024-03-08T00:00:00" count="50">
        <d v="2024-01-05T00:00:00"/>
        <d v="2024-01-06T00:00:00"/>
        <d v="2024-01-07T00:00:00"/>
        <d v="2024-01-08T00:00:00"/>
        <d v="2024-01-10T00:00:00"/>
        <d v="2024-01-11T00:00:00"/>
        <d v="2024-01-13T00:00:00"/>
        <d v="2024-01-15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6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6T00:00:00"/>
        <d v="2024-02-17T00:00:00"/>
        <d v="2024-02-18T00:00:00"/>
        <d v="2024-02-19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</sharedItems>
    </cacheField>
    <cacheField name="Total Sales" numFmtId="0">
      <sharedItems containsSemiMixedTypes="0" containsString="0" containsNumber="1" containsInteger="1" minValue="90" maxValue="850" count="34">
        <n v="500"/>
        <n v="200"/>
        <n v="375"/>
        <n v="250"/>
        <n v="150"/>
        <n v="600"/>
        <n v="180"/>
        <n v="550"/>
        <n v="400"/>
        <n v="280"/>
        <n v="700"/>
        <n v="300"/>
        <n v="125"/>
        <n v="160"/>
        <n v="450"/>
        <n v="175"/>
        <n v="240"/>
        <n v="140"/>
        <n v="110"/>
        <n v="216"/>
        <n v="650"/>
        <n v="320"/>
        <n v="90"/>
        <n v="176"/>
        <n v="850"/>
        <n v="190"/>
        <n v="192"/>
        <n v="800"/>
        <n v="270"/>
        <n v="525"/>
        <n v="208"/>
        <n v="425"/>
        <n v="95"/>
        <n v="25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4294967295"/>
    <x v="4294967295"/>
  </r>
  <r>
    <x v="4294967295"/>
    <x v="4294967295"/>
  </r>
  <r>
    <x v="4294967295"/>
    <x v="4294967295"/>
  </r>
  <r>
    <x v="4294967295"/>
    <x v="4294967295"/>
  </r>
  <r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">
  <r>
    <x v="0"/>
  </r>
  <r>
    <x v="1"/>
  </r>
  <r>
    <x v="2"/>
  </r>
  <r>
    <x v="3"/>
  </r>
  <r>
    <x v="4"/>
  </r>
  <r>
    <x v="5"/>
  </r>
  <r>
    <x v="1"/>
  </r>
  <r>
    <x v="6"/>
  </r>
  <r>
    <x v="7"/>
  </r>
  <r>
    <x v="8"/>
  </r>
  <r>
    <x v="1"/>
  </r>
  <r>
    <x v="9"/>
  </r>
  <r>
    <x v="10"/>
  </r>
  <r>
    <x v="9"/>
  </r>
  <r>
    <x v="11"/>
  </r>
  <r>
    <x v="12"/>
  </r>
  <r>
    <x v="13"/>
  </r>
  <r>
    <x v="0"/>
  </r>
  <r>
    <x v="4"/>
  </r>
  <r>
    <x v="14"/>
  </r>
  <r>
    <x v="14"/>
  </r>
  <r>
    <x v="15"/>
  </r>
  <r>
    <x v="16"/>
  </r>
  <r>
    <x v="7"/>
  </r>
  <r>
    <x v="17"/>
  </r>
  <r>
    <x v="8"/>
  </r>
  <r>
    <x v="18"/>
  </r>
  <r>
    <x v="19"/>
  </r>
  <r>
    <x v="20"/>
  </r>
  <r>
    <x v="21"/>
  </r>
  <r>
    <x v="3"/>
  </r>
  <r>
    <x v="22"/>
  </r>
  <r>
    <x v="23"/>
  </r>
  <r>
    <x v="24"/>
  </r>
  <r>
    <x v="25"/>
  </r>
  <r>
    <x v="2"/>
  </r>
  <r>
    <x v="17"/>
  </r>
  <r>
    <x v="26"/>
  </r>
  <r>
    <x v="27"/>
  </r>
  <r>
    <x v="28"/>
  </r>
  <r>
    <x v="29"/>
  </r>
  <r>
    <x v="4"/>
  </r>
  <r>
    <x v="30"/>
  </r>
  <r>
    <x v="10"/>
  </r>
  <r>
    <x v="1"/>
  </r>
  <r>
    <x v="31"/>
  </r>
  <r>
    <x v="32"/>
  </r>
  <r>
    <x v="33"/>
  </r>
  <r>
    <x v="5"/>
  </r>
  <r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1"/>
  </r>
  <r>
    <x v="7"/>
    <x v="6"/>
  </r>
  <r>
    <x v="8"/>
    <x v="7"/>
  </r>
  <r>
    <x v="9"/>
    <x v="8"/>
  </r>
  <r>
    <x v="10"/>
    <x v="1"/>
  </r>
  <r>
    <x v="11"/>
    <x v="9"/>
  </r>
  <r>
    <x v="12"/>
    <x v="10"/>
  </r>
  <r>
    <x v="13"/>
    <x v="9"/>
  </r>
  <r>
    <x v="14"/>
    <x v="11"/>
  </r>
  <r>
    <x v="15"/>
    <x v="12"/>
  </r>
  <r>
    <x v="16"/>
    <x v="13"/>
  </r>
  <r>
    <x v="17"/>
    <x v="0"/>
  </r>
  <r>
    <x v="18"/>
    <x v="4"/>
  </r>
  <r>
    <x v="19"/>
    <x v="14"/>
  </r>
  <r>
    <x v="20"/>
    <x v="14"/>
  </r>
  <r>
    <x v="21"/>
    <x v="15"/>
  </r>
  <r>
    <x v="22"/>
    <x v="16"/>
  </r>
  <r>
    <x v="23"/>
    <x v="7"/>
  </r>
  <r>
    <x v="24"/>
    <x v="17"/>
  </r>
  <r>
    <x v="25"/>
    <x v="8"/>
  </r>
  <r>
    <x v="26"/>
    <x v="18"/>
  </r>
  <r>
    <x v="27"/>
    <x v="19"/>
  </r>
  <r>
    <x v="28"/>
    <x v="20"/>
  </r>
  <r>
    <x v="29"/>
    <x v="21"/>
  </r>
  <r>
    <x v="30"/>
    <x v="3"/>
  </r>
  <r>
    <x v="31"/>
    <x v="22"/>
  </r>
  <r>
    <x v="32"/>
    <x v="23"/>
  </r>
  <r>
    <x v="33"/>
    <x v="24"/>
  </r>
  <r>
    <x v="34"/>
    <x v="25"/>
  </r>
  <r>
    <x v="35"/>
    <x v="2"/>
  </r>
  <r>
    <x v="36"/>
    <x v="17"/>
  </r>
  <r>
    <x v="37"/>
    <x v="26"/>
  </r>
  <r>
    <x v="38"/>
    <x v="27"/>
  </r>
  <r>
    <x v="39"/>
    <x v="28"/>
  </r>
  <r>
    <x v="40"/>
    <x v="29"/>
  </r>
  <r>
    <x v="41"/>
    <x v="4"/>
  </r>
  <r>
    <x v="42"/>
    <x v="30"/>
  </r>
  <r>
    <x v="43"/>
    <x v="10"/>
  </r>
  <r>
    <x v="44"/>
    <x v="1"/>
  </r>
  <r>
    <x v="45"/>
    <x v="31"/>
  </r>
  <r>
    <x v="46"/>
    <x v="32"/>
  </r>
  <r>
    <x v="47"/>
    <x v="33"/>
  </r>
  <r>
    <x v="48"/>
    <x v="5"/>
  </r>
  <r>
    <x v="4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2">
    <pivotField axis="axisRow" compact="0" showAll="0">
      <items count="6">
        <item x="4"/>
        <item x="2"/>
        <item x="0"/>
        <item x="1"/>
        <item x="3"/>
        <item t="default"/>
      </items>
    </pivotField>
    <pivotField dataField="1" compact="0" showAll="0">
      <items count="6">
        <item x="3"/>
        <item x="4"/>
        <item x="1"/>
        <item x="2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20" firstHeaderRow="1" firstDataRow="1" firstDataCol="0"/>
  <pivotFields count="1">
    <pivotField compact="0" numFmtId="14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1"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54" firstHeaderRow="1" firstDataRow="1" firstDataCol="1"/>
  <pivotFields count="2">
    <pivotField axis="axisRow" compact="0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R73"/>
  <sheetViews>
    <sheetView topLeftCell="A62" workbookViewId="0">
      <selection activeCell="F75" sqref="F75"/>
    </sheetView>
  </sheetViews>
  <sheetFormatPr defaultColWidth="9" defaultRowHeight="15"/>
  <cols>
    <col min="1" max="1" width="7.42857142857143" customWidth="1"/>
    <col min="2" max="2" width="5" customWidth="1"/>
    <col min="3" max="3" width="13.8571428571429" customWidth="1"/>
    <col min="6" max="6" width="10.7142857142857" customWidth="1"/>
    <col min="7" max="7" width="10.5714285714286" customWidth="1"/>
    <col min="14" max="14" width="11" customWidth="1"/>
    <col min="15" max="15" width="12.4285714285714" customWidth="1"/>
    <col min="16" max="16" width="10.5714285714286" customWidth="1"/>
    <col min="17" max="17" width="12" customWidth="1"/>
    <col min="18" max="18" width="11.1428571428571" customWidth="1"/>
  </cols>
  <sheetData>
    <row r="1" spans="2:15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ht="15.75" spans="2:3">
      <c r="B2" s="23" t="s">
        <v>0</v>
      </c>
      <c r="C2" t="s">
        <v>1</v>
      </c>
    </row>
    <row r="3" ht="21.75" customHeight="1" spans="2:6">
      <c r="B3" s="8" t="s">
        <v>2</v>
      </c>
      <c r="C3" s="24" t="s">
        <v>3</v>
      </c>
      <c r="D3" s="25"/>
      <c r="E3" s="25"/>
      <c r="F3" s="26"/>
    </row>
    <row r="4" spans="3:3">
      <c r="C4" s="27"/>
    </row>
    <row r="5" spans="3:3">
      <c r="C5" s="28" t="s">
        <v>4</v>
      </c>
    </row>
    <row r="6" spans="3:3">
      <c r="C6" s="27"/>
    </row>
    <row r="7" spans="3:14">
      <c r="C7" s="28" t="s">
        <v>5</v>
      </c>
      <c r="I7" s="39" t="s">
        <v>6</v>
      </c>
      <c r="J7" s="39" t="s">
        <v>7</v>
      </c>
      <c r="K7" s="39" t="s">
        <v>8</v>
      </c>
      <c r="L7" s="39" t="s">
        <v>9</v>
      </c>
      <c r="M7" s="39" t="s">
        <v>10</v>
      </c>
      <c r="N7" s="39" t="s">
        <v>11</v>
      </c>
    </row>
    <row r="8" spans="3:15">
      <c r="C8" s="27"/>
      <c r="I8" s="40">
        <v>1</v>
      </c>
      <c r="J8" s="40" t="s">
        <v>12</v>
      </c>
      <c r="K8" s="40">
        <v>50</v>
      </c>
      <c r="L8" s="40">
        <v>50</v>
      </c>
      <c r="M8" s="40">
        <v>50</v>
      </c>
      <c r="N8" s="40">
        <f>SUM(K8:M8)</f>
        <v>150</v>
      </c>
      <c r="O8" s="41"/>
    </row>
    <row r="9" spans="3:15">
      <c r="C9" s="29" t="s">
        <v>13</v>
      </c>
      <c r="I9" s="40">
        <v>2</v>
      </c>
      <c r="J9" s="40" t="s">
        <v>14</v>
      </c>
      <c r="K9" s="40">
        <v>60</v>
      </c>
      <c r="L9" s="40">
        <v>60</v>
      </c>
      <c r="M9" s="40">
        <v>40</v>
      </c>
      <c r="N9" s="40">
        <f>SUM(K9:M9)</f>
        <v>160</v>
      </c>
      <c r="O9" s="41"/>
    </row>
    <row r="10" spans="3:3">
      <c r="C10" s="27" t="s">
        <v>15</v>
      </c>
    </row>
    <row r="11" spans="3:3">
      <c r="C11" s="27" t="s">
        <v>16</v>
      </c>
    </row>
    <row r="13" spans="3:3">
      <c r="C13" t="s">
        <v>17</v>
      </c>
    </row>
    <row r="15" ht="23.25" spans="3:6">
      <c r="C15" s="24" t="s">
        <v>18</v>
      </c>
      <c r="D15" s="25"/>
      <c r="E15" s="25"/>
      <c r="F15" s="26"/>
    </row>
    <row r="16" spans="3:3">
      <c r="C16" s="27"/>
    </row>
    <row r="17" spans="3:17">
      <c r="C17" s="28" t="s">
        <v>19</v>
      </c>
      <c r="K17" s="39" t="s">
        <v>6</v>
      </c>
      <c r="L17" s="39" t="s">
        <v>20</v>
      </c>
      <c r="M17" s="39" t="s">
        <v>8</v>
      </c>
      <c r="N17" s="39" t="s">
        <v>9</v>
      </c>
      <c r="O17" s="39" t="s">
        <v>10</v>
      </c>
      <c r="P17" s="39" t="s">
        <v>11</v>
      </c>
      <c r="Q17" s="39" t="s">
        <v>21</v>
      </c>
    </row>
    <row r="18" spans="3:17">
      <c r="C18" s="27"/>
      <c r="K18" s="40">
        <v>1</v>
      </c>
      <c r="L18" s="40" t="s">
        <v>12</v>
      </c>
      <c r="M18" s="40">
        <v>50</v>
      </c>
      <c r="N18" s="40">
        <v>50</v>
      </c>
      <c r="O18" s="40">
        <v>35</v>
      </c>
      <c r="P18" s="40">
        <f>SUM(M18:O18)</f>
        <v>135</v>
      </c>
      <c r="Q18" s="42">
        <f>P18/$O$22</f>
        <v>0.45</v>
      </c>
    </row>
    <row r="19" spans="3:17">
      <c r="C19" s="28" t="s">
        <v>22</v>
      </c>
      <c r="K19" s="40">
        <v>2</v>
      </c>
      <c r="L19" s="40" t="s">
        <v>14</v>
      </c>
      <c r="M19" s="40">
        <v>60</v>
      </c>
      <c r="N19" s="40">
        <v>60</v>
      </c>
      <c r="O19" s="40">
        <v>40</v>
      </c>
      <c r="P19" s="40">
        <f>SUM(M19:O19)</f>
        <v>160</v>
      </c>
      <c r="Q19" s="42">
        <f>P19/$O$22</f>
        <v>0.533333333333333</v>
      </c>
    </row>
    <row r="20" spans="3:3">
      <c r="C20" s="27"/>
    </row>
    <row r="21" spans="3:3">
      <c r="C21" s="28" t="s">
        <v>13</v>
      </c>
    </row>
    <row r="22" spans="3:15">
      <c r="C22" s="27" t="s">
        <v>23</v>
      </c>
      <c r="M22" s="36" t="s">
        <v>24</v>
      </c>
      <c r="N22" s="36"/>
      <c r="O22" s="37">
        <v>300</v>
      </c>
    </row>
    <row r="23" spans="3:3">
      <c r="C23" s="27" t="s">
        <v>25</v>
      </c>
    </row>
    <row r="25" ht="12.75" customHeight="1"/>
    <row r="26" ht="23.25" spans="3:6">
      <c r="C26" s="24" t="s">
        <v>26</v>
      </c>
      <c r="D26" s="25"/>
      <c r="E26" s="25"/>
      <c r="F26" s="26"/>
    </row>
    <row r="27" spans="3:3">
      <c r="C27" s="27"/>
    </row>
    <row r="28" spans="3:3">
      <c r="C28" s="28" t="s">
        <v>27</v>
      </c>
    </row>
    <row r="29" spans="3:3">
      <c r="C29" s="27"/>
    </row>
    <row r="30" spans="3:3">
      <c r="C30" s="28" t="s">
        <v>28</v>
      </c>
    </row>
    <row r="31" spans="3:3">
      <c r="C31" s="27"/>
    </row>
    <row r="32" spans="3:3">
      <c r="C32" s="28" t="s">
        <v>13</v>
      </c>
    </row>
    <row r="33" spans="3:3">
      <c r="C33" s="30"/>
    </row>
    <row r="34" spans="3:18">
      <c r="C34" s="31" t="s">
        <v>29</v>
      </c>
      <c r="I34" s="39" t="s">
        <v>6</v>
      </c>
      <c r="J34" s="39" t="s">
        <v>20</v>
      </c>
      <c r="K34" s="39" t="s">
        <v>8</v>
      </c>
      <c r="L34" s="39" t="s">
        <v>9</v>
      </c>
      <c r="M34" s="39" t="s">
        <v>10</v>
      </c>
      <c r="N34" s="39" t="s">
        <v>11</v>
      </c>
      <c r="O34" s="39" t="s">
        <v>21</v>
      </c>
      <c r="P34" s="39" t="s">
        <v>30</v>
      </c>
      <c r="Q34" s="39" t="s">
        <v>31</v>
      </c>
      <c r="R34" s="39" t="s">
        <v>32</v>
      </c>
    </row>
    <row r="35" spans="3:18">
      <c r="C35" s="30"/>
      <c r="I35" s="40">
        <v>1</v>
      </c>
      <c r="J35" s="40" t="s">
        <v>12</v>
      </c>
      <c r="K35" s="40">
        <v>50</v>
      </c>
      <c r="L35" s="40">
        <v>50</v>
      </c>
      <c r="M35" s="40">
        <v>35</v>
      </c>
      <c r="N35" s="40">
        <f>SUM(K35:M35)</f>
        <v>135</v>
      </c>
      <c r="O35" s="42">
        <f>N35/$O$38</f>
        <v>0.45</v>
      </c>
      <c r="P35" s="42">
        <f>K35/N$35</f>
        <v>0.37037037037037</v>
      </c>
      <c r="Q35" s="42">
        <f>L35/$N35</f>
        <v>0.37037037037037</v>
      </c>
      <c r="R35" s="42">
        <f>M35/$N35</f>
        <v>0.259259259259259</v>
      </c>
    </row>
    <row r="36" spans="3:18">
      <c r="C36" s="31" t="s">
        <v>33</v>
      </c>
      <c r="I36" s="40">
        <v>2</v>
      </c>
      <c r="J36" s="40" t="s">
        <v>14</v>
      </c>
      <c r="K36" s="40">
        <v>60</v>
      </c>
      <c r="L36" s="40">
        <v>60</v>
      </c>
      <c r="M36" s="40">
        <v>40</v>
      </c>
      <c r="N36" s="40">
        <f>SUM(K36:M36)</f>
        <v>160</v>
      </c>
      <c r="O36" s="42">
        <f>N36/$O$38</f>
        <v>0.533333333333333</v>
      </c>
      <c r="P36" s="42">
        <f>K36/N$35</f>
        <v>0.444444444444444</v>
      </c>
      <c r="Q36" s="42">
        <f>L36/$N36</f>
        <v>0.375</v>
      </c>
      <c r="R36" s="42">
        <f>M36/$N36</f>
        <v>0.25</v>
      </c>
    </row>
    <row r="37" spans="3:3">
      <c r="C37" s="27"/>
    </row>
    <row r="38" spans="3:15">
      <c r="C38" s="28" t="s">
        <v>13</v>
      </c>
      <c r="O38">
        <v>300</v>
      </c>
    </row>
    <row r="39" spans="3:3">
      <c r="C39" s="27" t="s">
        <v>34</v>
      </c>
    </row>
    <row r="41" spans="3:3">
      <c r="C41" t="s">
        <v>35</v>
      </c>
    </row>
    <row r="45" ht="18" spans="3:3">
      <c r="C45" s="32" t="s">
        <v>36</v>
      </c>
    </row>
    <row r="47" ht="45" spans="3:7">
      <c r="C47" s="33" t="s">
        <v>37</v>
      </c>
      <c r="D47" s="33" t="s">
        <v>38</v>
      </c>
      <c r="E47" s="33" t="s">
        <v>39</v>
      </c>
      <c r="F47" s="33" t="s">
        <v>40</v>
      </c>
      <c r="G47" s="33" t="s">
        <v>41</v>
      </c>
    </row>
    <row r="48" spans="3:7">
      <c r="C48" s="34" t="s">
        <v>42</v>
      </c>
      <c r="D48" s="35" t="s">
        <v>43</v>
      </c>
      <c r="E48" s="35" t="s">
        <v>44</v>
      </c>
      <c r="F48" s="35" t="s">
        <v>44</v>
      </c>
      <c r="G48" s="35" t="s">
        <v>45</v>
      </c>
    </row>
    <row r="49" spans="3:7">
      <c r="C49" s="34" t="s">
        <v>46</v>
      </c>
      <c r="D49" s="35" t="s">
        <v>47</v>
      </c>
      <c r="E49" s="35" t="s">
        <v>48</v>
      </c>
      <c r="F49" s="35" t="s">
        <v>48</v>
      </c>
      <c r="G49" s="35" t="s">
        <v>49</v>
      </c>
    </row>
    <row r="50" spans="3:7">
      <c r="C50" s="34" t="s">
        <v>50</v>
      </c>
      <c r="D50" s="35" t="s">
        <v>51</v>
      </c>
      <c r="E50" s="35" t="s">
        <v>52</v>
      </c>
      <c r="F50" s="35" t="s">
        <v>53</v>
      </c>
      <c r="G50" s="35" t="s">
        <v>54</v>
      </c>
    </row>
    <row r="53" spans="2:8">
      <c r="B53" s="8" t="s">
        <v>55</v>
      </c>
      <c r="C53" s="8" t="s">
        <v>56</v>
      </c>
      <c r="D53" s="8"/>
      <c r="E53" s="8"/>
      <c r="F53" s="8"/>
      <c r="G53" s="8"/>
      <c r="H53" s="8"/>
    </row>
    <row r="55" spans="2:4">
      <c r="B55" s="8" t="s">
        <v>57</v>
      </c>
      <c r="C55" s="36" t="s">
        <v>58</v>
      </c>
      <c r="D55" s="36" t="s">
        <v>59</v>
      </c>
    </row>
    <row r="56" spans="3:4">
      <c r="C56" s="36" t="s">
        <v>60</v>
      </c>
      <c r="D56" s="37">
        <v>500000</v>
      </c>
    </row>
    <row r="57" spans="3:4">
      <c r="C57" s="36" t="s">
        <v>61</v>
      </c>
      <c r="D57" s="37">
        <v>10500</v>
      </c>
    </row>
    <row r="58" spans="3:4">
      <c r="C58" s="36" t="s">
        <v>62</v>
      </c>
      <c r="D58" s="37">
        <v>25000</v>
      </c>
    </row>
    <row r="60" spans="3:6">
      <c r="C60" s="8" t="s">
        <v>63</v>
      </c>
      <c r="F60">
        <f>SUM(D56:D57)</f>
        <v>510500</v>
      </c>
    </row>
    <row r="61" spans="3:5">
      <c r="C61" s="38" t="s">
        <v>64</v>
      </c>
      <c r="D61" s="8"/>
      <c r="E61" s="8"/>
    </row>
    <row r="64" spans="2:12">
      <c r="B64" s="8" t="s">
        <v>65</v>
      </c>
      <c r="C64" s="8" t="s">
        <v>66</v>
      </c>
      <c r="D64" s="8"/>
      <c r="E64" s="8"/>
      <c r="F64" s="8"/>
      <c r="G64" s="8"/>
      <c r="H64" s="8"/>
      <c r="I64" s="8"/>
      <c r="J64" s="8"/>
      <c r="K64" s="8"/>
      <c r="L64" s="8" t="s">
        <v>67</v>
      </c>
    </row>
    <row r="65" spans="3:12"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2:5">
      <c r="B66" s="8" t="s">
        <v>57</v>
      </c>
      <c r="C66" s="36" t="s">
        <v>68</v>
      </c>
      <c r="D66" s="36" t="s">
        <v>59</v>
      </c>
      <c r="E66" s="36" t="s">
        <v>69</v>
      </c>
    </row>
    <row r="67" spans="3:5">
      <c r="C67" s="36" t="s">
        <v>70</v>
      </c>
      <c r="D67" s="36">
        <v>90</v>
      </c>
      <c r="E67" s="36">
        <v>1000</v>
      </c>
    </row>
    <row r="68" spans="3:5">
      <c r="C68" s="36" t="s">
        <v>71</v>
      </c>
      <c r="D68" s="36">
        <v>150</v>
      </c>
      <c r="E68" s="36">
        <v>1200</v>
      </c>
    </row>
    <row r="69" spans="3:5">
      <c r="C69" s="36" t="s">
        <v>72</v>
      </c>
      <c r="D69" s="36">
        <v>250</v>
      </c>
      <c r="E69" s="36">
        <v>1500</v>
      </c>
    </row>
    <row r="71" spans="3:6">
      <c r="C71" s="8" t="s">
        <v>73</v>
      </c>
      <c r="F71">
        <f>AVERAGEIFS(E67:E69,D67:D69,"&gt;100",D67:D69,"&lt;300")</f>
        <v>1350</v>
      </c>
    </row>
    <row r="72" spans="3:3">
      <c r="C72" s="38" t="s">
        <v>74</v>
      </c>
    </row>
    <row r="73" spans="3:6">
      <c r="C73" s="38" t="s">
        <v>75</v>
      </c>
      <c r="D73" s="8"/>
      <c r="E73" s="8"/>
      <c r="F73" s="8"/>
    </row>
  </sheetData>
  <mergeCells count="1">
    <mergeCell ref="B1:O1"/>
  </mergeCells>
  <pageMargins left="0.25" right="0.2" top="0.25" bottom="0.25" header="0.3" footer="0.3"/>
  <pageSetup paperSize="9" scale="47" fitToWidth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Q9" sqref="Q9"/>
    </sheetView>
  </sheetViews>
  <sheetFormatPr defaultColWidth="9.14285714285714" defaultRowHeight="15" outlineLevelCol="1"/>
  <cols>
    <col min="1" max="1" width="12.1428571428571"/>
    <col min="2" max="2" width="18.5714285714286"/>
  </cols>
  <sheetData>
    <row r="3" spans="1:2">
      <c r="A3" t="s">
        <v>76</v>
      </c>
      <c r="B3" t="s">
        <v>77</v>
      </c>
    </row>
    <row r="4" spans="1:2">
      <c r="A4" t="s">
        <v>78</v>
      </c>
      <c r="B4">
        <v>1928</v>
      </c>
    </row>
    <row r="5" spans="1:2">
      <c r="A5" t="s">
        <v>79</v>
      </c>
      <c r="B5">
        <v>3650</v>
      </c>
    </row>
    <row r="6" spans="1:2">
      <c r="A6" t="s">
        <v>80</v>
      </c>
      <c r="B6">
        <v>7550</v>
      </c>
    </row>
    <row r="7" spans="1:2">
      <c r="A7" t="s">
        <v>81</v>
      </c>
      <c r="B7">
        <v>2180</v>
      </c>
    </row>
    <row r="8" spans="1:2">
      <c r="A8" t="s">
        <v>82</v>
      </c>
      <c r="B8">
        <v>1235</v>
      </c>
    </row>
    <row r="9" spans="1:2">
      <c r="A9" t="s">
        <v>83</v>
      </c>
      <c r="B9">
        <v>16543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3" sqref="A3"/>
    </sheetView>
  </sheetViews>
  <sheetFormatPr defaultColWidth="9.14285714285714" defaultRowHeight="15" outlineLevelCol="2"/>
  <sheetData>
    <row r="3" spans="1:3">
      <c r="A3" s="13"/>
      <c r="B3" s="14"/>
      <c r="C3" s="15"/>
    </row>
    <row r="4" spans="1:3">
      <c r="A4" s="16"/>
      <c r="B4" s="17"/>
      <c r="C4" s="18"/>
    </row>
    <row r="5" spans="1:3">
      <c r="A5" s="16"/>
      <c r="B5" s="17"/>
      <c r="C5" s="18"/>
    </row>
    <row r="6" spans="1:3">
      <c r="A6" s="16"/>
      <c r="B6" s="17"/>
      <c r="C6" s="18"/>
    </row>
    <row r="7" spans="1:3">
      <c r="A7" s="16"/>
      <c r="B7" s="17"/>
      <c r="C7" s="18"/>
    </row>
    <row r="8" spans="1:3">
      <c r="A8" s="16"/>
      <c r="B8" s="17"/>
      <c r="C8" s="18"/>
    </row>
    <row r="9" spans="1:3">
      <c r="A9" s="16"/>
      <c r="B9" s="17"/>
      <c r="C9" s="18"/>
    </row>
    <row r="10" spans="1:3">
      <c r="A10" s="16"/>
      <c r="B10" s="17"/>
      <c r="C10" s="18"/>
    </row>
    <row r="11" spans="1:3">
      <c r="A11" s="16"/>
      <c r="B11" s="17"/>
      <c r="C11" s="18"/>
    </row>
    <row r="12" spans="1:3">
      <c r="A12" s="16"/>
      <c r="B12" s="17"/>
      <c r="C12" s="18"/>
    </row>
    <row r="13" spans="1:3">
      <c r="A13" s="16"/>
      <c r="B13" s="17"/>
      <c r="C13" s="18"/>
    </row>
    <row r="14" spans="1:3">
      <c r="A14" s="16"/>
      <c r="B14" s="17"/>
      <c r="C14" s="18"/>
    </row>
    <row r="15" spans="1:3">
      <c r="A15" s="16"/>
      <c r="B15" s="17"/>
      <c r="C15" s="18"/>
    </row>
    <row r="16" spans="1:3">
      <c r="A16" s="16"/>
      <c r="B16" s="17"/>
      <c r="C16" s="18"/>
    </row>
    <row r="17" spans="1:3">
      <c r="A17" s="16"/>
      <c r="B17" s="17"/>
      <c r="C17" s="18"/>
    </row>
    <row r="18" spans="1:3">
      <c r="A18" s="16"/>
      <c r="B18" s="17"/>
      <c r="C18" s="18"/>
    </row>
    <row r="19" spans="1:3">
      <c r="A19" s="16"/>
      <c r="B19" s="17"/>
      <c r="C19" s="18"/>
    </row>
    <row r="20" spans="1:3">
      <c r="A20" s="19"/>
      <c r="B20" s="20"/>
      <c r="C20" s="21"/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workbookViewId="0">
      <selection activeCell="A4" sqref="A4:C19"/>
    </sheetView>
  </sheetViews>
  <sheetFormatPr defaultColWidth="9.14285714285714" defaultRowHeight="15" outlineLevelCol="2"/>
  <sheetData>
    <row r="3" spans="1:3">
      <c r="A3" s="13"/>
      <c r="B3" s="14"/>
      <c r="C3" s="15"/>
    </row>
    <row r="4" spans="1:3">
      <c r="A4" s="16"/>
      <c r="B4" s="17"/>
      <c r="C4" s="18"/>
    </row>
    <row r="5" spans="1:3">
      <c r="A5" s="16"/>
      <c r="B5" s="17"/>
      <c r="C5" s="18"/>
    </row>
    <row r="6" spans="1:3">
      <c r="A6" s="16"/>
      <c r="B6" s="17"/>
      <c r="C6" s="18"/>
    </row>
    <row r="7" spans="1:3">
      <c r="A7" s="16"/>
      <c r="B7" s="17"/>
      <c r="C7" s="18"/>
    </row>
    <row r="8" spans="1:3">
      <c r="A8" s="16"/>
      <c r="B8" s="17"/>
      <c r="C8" s="18"/>
    </row>
    <row r="9" spans="1:3">
      <c r="A9" s="16"/>
      <c r="B9" s="17"/>
      <c r="C9" s="18"/>
    </row>
    <row r="10" spans="1:3">
      <c r="A10" s="16"/>
      <c r="B10" s="17"/>
      <c r="C10" s="18"/>
    </row>
    <row r="11" spans="1:3">
      <c r="A11" s="16"/>
      <c r="B11" s="17"/>
      <c r="C11" s="18"/>
    </row>
    <row r="12" spans="1:3">
      <c r="A12" s="16"/>
      <c r="B12" s="17"/>
      <c r="C12" s="18"/>
    </row>
    <row r="13" spans="1:3">
      <c r="A13" s="16"/>
      <c r="B13" s="17"/>
      <c r="C13" s="18"/>
    </row>
    <row r="14" spans="1:3">
      <c r="A14" s="16"/>
      <c r="B14" s="17"/>
      <c r="C14" s="18"/>
    </row>
    <row r="15" spans="1:3">
      <c r="A15" s="16"/>
      <c r="B15" s="17"/>
      <c r="C15" s="18"/>
    </row>
    <row r="16" spans="1:3">
      <c r="A16" s="16"/>
      <c r="B16" s="17"/>
      <c r="C16" s="18"/>
    </row>
    <row r="17" spans="1:3">
      <c r="A17" s="16"/>
      <c r="B17" s="17"/>
      <c r="C17" s="18"/>
    </row>
    <row r="18" spans="1:3">
      <c r="A18" s="16"/>
      <c r="B18" s="17"/>
      <c r="C18" s="18"/>
    </row>
    <row r="19" spans="1:3">
      <c r="A19" s="16"/>
      <c r="B19" s="17"/>
      <c r="C19" s="18"/>
    </row>
    <row r="20" spans="1:3">
      <c r="A20" s="19"/>
      <c r="B20" s="20"/>
      <c r="C20" s="2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4"/>
  <sheetViews>
    <sheetView topLeftCell="A34" workbookViewId="0">
      <selection activeCell="A3" sqref="A3:B54"/>
    </sheetView>
  </sheetViews>
  <sheetFormatPr defaultColWidth="9.14285714285714" defaultRowHeight="15" outlineLevelCol="1"/>
  <cols>
    <col min="1" max="1" width="13"/>
    <col min="2" max="2" width="18.5714285714286"/>
  </cols>
  <sheetData>
    <row r="3" spans="1:2">
      <c r="A3" t="s">
        <v>84</v>
      </c>
      <c r="B3" t="s">
        <v>77</v>
      </c>
    </row>
    <row r="4" spans="1:2">
      <c r="A4" s="6">
        <v>45296</v>
      </c>
      <c r="B4">
        <v>500</v>
      </c>
    </row>
    <row r="5" spans="1:2">
      <c r="A5" s="6">
        <v>45297</v>
      </c>
      <c r="B5">
        <v>200</v>
      </c>
    </row>
    <row r="6" spans="1:2">
      <c r="A6" s="6">
        <v>45298</v>
      </c>
      <c r="B6">
        <v>375</v>
      </c>
    </row>
    <row r="7" spans="1:2">
      <c r="A7" s="6">
        <v>45299</v>
      </c>
      <c r="B7">
        <v>250</v>
      </c>
    </row>
    <row r="8" spans="1:2">
      <c r="A8" s="6">
        <v>45301</v>
      </c>
      <c r="B8">
        <v>150</v>
      </c>
    </row>
    <row r="9" spans="1:2">
      <c r="A9" s="6">
        <v>45302</v>
      </c>
      <c r="B9">
        <v>600</v>
      </c>
    </row>
    <row r="10" spans="1:2">
      <c r="A10" s="6">
        <v>45304</v>
      </c>
      <c r="B10">
        <v>200</v>
      </c>
    </row>
    <row r="11" spans="1:2">
      <c r="A11" s="6">
        <v>45306</v>
      </c>
      <c r="B11">
        <v>180</v>
      </c>
    </row>
    <row r="12" spans="1:2">
      <c r="A12" s="6">
        <v>45308</v>
      </c>
      <c r="B12">
        <v>550</v>
      </c>
    </row>
    <row r="13" spans="1:2">
      <c r="A13" s="6">
        <v>45309</v>
      </c>
      <c r="B13">
        <v>400</v>
      </c>
    </row>
    <row r="14" spans="1:2">
      <c r="A14" s="6">
        <v>45310</v>
      </c>
      <c r="B14">
        <v>200</v>
      </c>
    </row>
    <row r="15" spans="1:2">
      <c r="A15" s="6">
        <v>45311</v>
      </c>
      <c r="B15">
        <v>280</v>
      </c>
    </row>
    <row r="16" spans="1:2">
      <c r="A16" s="6">
        <v>45313</v>
      </c>
      <c r="B16">
        <v>700</v>
      </c>
    </row>
    <row r="17" spans="1:2">
      <c r="A17" s="6">
        <v>45314</v>
      </c>
      <c r="B17">
        <v>280</v>
      </c>
    </row>
    <row r="18" spans="1:2">
      <c r="A18" s="6">
        <v>45315</v>
      </c>
      <c r="B18">
        <v>300</v>
      </c>
    </row>
    <row r="19" spans="1:2">
      <c r="A19" s="6">
        <v>45317</v>
      </c>
      <c r="B19">
        <v>125</v>
      </c>
    </row>
    <row r="20" spans="1:2">
      <c r="A20" s="6">
        <v>45319</v>
      </c>
      <c r="B20">
        <v>160</v>
      </c>
    </row>
    <row r="21" spans="1:2">
      <c r="A21" s="6">
        <v>45320</v>
      </c>
      <c r="B21">
        <v>500</v>
      </c>
    </row>
    <row r="22" spans="1:2">
      <c r="A22" s="6">
        <v>45321</v>
      </c>
      <c r="B22">
        <v>150</v>
      </c>
    </row>
    <row r="23" spans="1:2">
      <c r="A23" s="6">
        <v>45323</v>
      </c>
      <c r="B23">
        <v>450</v>
      </c>
    </row>
    <row r="24" spans="1:2">
      <c r="A24" s="6">
        <v>45324</v>
      </c>
      <c r="B24">
        <v>450</v>
      </c>
    </row>
    <row r="25" spans="1:2">
      <c r="A25" s="6">
        <v>45325</v>
      </c>
      <c r="B25">
        <v>175</v>
      </c>
    </row>
    <row r="26" spans="1:2">
      <c r="A26" s="6">
        <v>45326</v>
      </c>
      <c r="B26">
        <v>240</v>
      </c>
    </row>
    <row r="27" spans="1:2">
      <c r="A27" s="6">
        <v>45328</v>
      </c>
      <c r="B27">
        <v>550</v>
      </c>
    </row>
    <row r="28" spans="1:2">
      <c r="A28" s="6">
        <v>45329</v>
      </c>
      <c r="B28">
        <v>140</v>
      </c>
    </row>
    <row r="29" spans="1:2">
      <c r="A29" s="6">
        <v>45330</v>
      </c>
      <c r="B29">
        <v>400</v>
      </c>
    </row>
    <row r="30" spans="1:2">
      <c r="A30" s="6">
        <v>45331</v>
      </c>
      <c r="B30">
        <v>110</v>
      </c>
    </row>
    <row r="31" spans="1:2">
      <c r="A31" s="6">
        <v>45332</v>
      </c>
      <c r="B31">
        <v>216</v>
      </c>
    </row>
    <row r="32" spans="1:2">
      <c r="A32" s="6">
        <v>45334</v>
      </c>
      <c r="B32">
        <v>650</v>
      </c>
    </row>
    <row r="33" spans="1:2">
      <c r="A33" s="6">
        <v>45335</v>
      </c>
      <c r="B33">
        <v>320</v>
      </c>
    </row>
    <row r="34" spans="1:2">
      <c r="A34" s="6">
        <v>45336</v>
      </c>
      <c r="B34">
        <v>250</v>
      </c>
    </row>
    <row r="35" spans="1:2">
      <c r="A35" s="6">
        <v>45338</v>
      </c>
      <c r="B35">
        <v>90</v>
      </c>
    </row>
    <row r="36" spans="1:2">
      <c r="A36" s="6">
        <v>45339</v>
      </c>
      <c r="B36">
        <v>176</v>
      </c>
    </row>
    <row r="37" spans="1:2">
      <c r="A37" s="6">
        <v>45340</v>
      </c>
      <c r="B37">
        <v>850</v>
      </c>
    </row>
    <row r="38" spans="1:2">
      <c r="A38" s="6">
        <v>45341</v>
      </c>
      <c r="B38">
        <v>190</v>
      </c>
    </row>
    <row r="39" spans="1:2">
      <c r="A39" s="6">
        <v>45343</v>
      </c>
      <c r="B39">
        <v>375</v>
      </c>
    </row>
    <row r="40" spans="1:2">
      <c r="A40" s="6">
        <v>45344</v>
      </c>
      <c r="B40">
        <v>140</v>
      </c>
    </row>
    <row r="41" spans="1:2">
      <c r="A41" s="6">
        <v>45345</v>
      </c>
      <c r="B41">
        <v>192</v>
      </c>
    </row>
    <row r="42" spans="1:2">
      <c r="A42" s="6">
        <v>45347</v>
      </c>
      <c r="B42">
        <v>800</v>
      </c>
    </row>
    <row r="43" spans="1:2">
      <c r="A43" s="6">
        <v>45348</v>
      </c>
      <c r="B43">
        <v>270</v>
      </c>
    </row>
    <row r="44" spans="1:2">
      <c r="A44" s="6">
        <v>45349</v>
      </c>
      <c r="B44">
        <v>525</v>
      </c>
    </row>
    <row r="45" spans="1:2">
      <c r="A45" s="6">
        <v>45350</v>
      </c>
      <c r="B45">
        <v>150</v>
      </c>
    </row>
    <row r="46" spans="1:2">
      <c r="A46" s="6">
        <v>45352</v>
      </c>
      <c r="B46">
        <v>208</v>
      </c>
    </row>
    <row r="47" spans="1:2">
      <c r="A47" s="6">
        <v>45353</v>
      </c>
      <c r="B47">
        <v>700</v>
      </c>
    </row>
    <row r="48" spans="1:2">
      <c r="A48" s="6">
        <v>45354</v>
      </c>
      <c r="B48">
        <v>200</v>
      </c>
    </row>
    <row r="49" spans="1:2">
      <c r="A49" s="6">
        <v>45355</v>
      </c>
      <c r="B49">
        <v>425</v>
      </c>
    </row>
    <row r="50" spans="1:2">
      <c r="A50" s="6">
        <v>45356</v>
      </c>
      <c r="B50">
        <v>95</v>
      </c>
    </row>
    <row r="51" spans="1:2">
      <c r="A51" s="6">
        <v>45357</v>
      </c>
      <c r="B51">
        <v>256</v>
      </c>
    </row>
    <row r="52" spans="1:2">
      <c r="A52" s="6">
        <v>45358</v>
      </c>
      <c r="B52">
        <v>600</v>
      </c>
    </row>
    <row r="53" spans="1:2">
      <c r="A53" s="6">
        <v>45359</v>
      </c>
      <c r="B53">
        <v>250</v>
      </c>
    </row>
    <row r="54" spans="1:2">
      <c r="A54" t="s">
        <v>83</v>
      </c>
      <c r="B54">
        <v>16543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5"/>
  <sheetViews>
    <sheetView tabSelected="1" workbookViewId="0">
      <selection activeCell="R17" sqref="R17"/>
    </sheetView>
  </sheetViews>
  <sheetFormatPr defaultColWidth="8.14285714285714" defaultRowHeight="16.5" customHeight="1"/>
  <cols>
    <col min="1" max="1" width="8" customWidth="1"/>
    <col min="2" max="2" width="15" customWidth="1"/>
    <col min="3" max="3" width="7.14285714285714" customWidth="1"/>
    <col min="4" max="4" width="9.85714285714286" customWidth="1"/>
    <col min="5" max="5" width="8.71428571428571" customWidth="1"/>
    <col min="6" max="6" width="9.28571428571429" customWidth="1"/>
    <col min="7" max="8" width="10.2857142857143" customWidth="1"/>
    <col min="9" max="9" width="10" customWidth="1"/>
    <col min="10" max="10" width="8.57142857142857" customWidth="1"/>
    <col min="11" max="11" width="14.7142857142857" customWidth="1"/>
    <col min="19" max="19" width="10.5714285714286" customWidth="1"/>
  </cols>
  <sheetData>
    <row r="1" customHeight="1" spans="1:9">
      <c r="A1" s="1" t="s">
        <v>85</v>
      </c>
      <c r="B1" s="1" t="s">
        <v>86</v>
      </c>
      <c r="C1" s="1" t="s">
        <v>87</v>
      </c>
      <c r="D1" s="1" t="s">
        <v>76</v>
      </c>
      <c r="E1" s="1" t="s">
        <v>88</v>
      </c>
      <c r="F1" s="1" t="s">
        <v>89</v>
      </c>
      <c r="G1" s="1" t="s">
        <v>84</v>
      </c>
      <c r="H1" s="5" t="s">
        <v>90</v>
      </c>
      <c r="I1" s="5"/>
    </row>
    <row r="2" customHeight="1" spans="1:15">
      <c r="A2" s="2">
        <v>1001</v>
      </c>
      <c r="B2" s="3" t="s">
        <v>91</v>
      </c>
      <c r="C2" s="3" t="s">
        <v>92</v>
      </c>
      <c r="D2" s="3" t="s">
        <v>80</v>
      </c>
      <c r="E2" s="2">
        <v>10</v>
      </c>
      <c r="F2" s="2">
        <v>50</v>
      </c>
      <c r="G2" s="4">
        <v>45296</v>
      </c>
      <c r="H2">
        <f>E2*F2</f>
        <v>500</v>
      </c>
      <c r="J2" s="7" t="s">
        <v>93</v>
      </c>
      <c r="K2" s="8" t="s">
        <v>94</v>
      </c>
      <c r="L2" s="9"/>
      <c r="M2" s="9"/>
      <c r="N2" s="9"/>
      <c r="O2" s="9"/>
    </row>
    <row r="3" customHeight="1" spans="1:13">
      <c r="A3" s="2">
        <v>1002</v>
      </c>
      <c r="B3" s="3" t="s">
        <v>95</v>
      </c>
      <c r="C3" s="3" t="s">
        <v>96</v>
      </c>
      <c r="D3" s="3" t="s">
        <v>81</v>
      </c>
      <c r="E3" s="2">
        <v>20</v>
      </c>
      <c r="F3" s="2">
        <v>10</v>
      </c>
      <c r="G3" s="4">
        <v>45297</v>
      </c>
      <c r="H3">
        <f t="shared" ref="H3:H51" si="0">E3*F3</f>
        <v>200</v>
      </c>
      <c r="J3" s="7" t="s">
        <v>97</v>
      </c>
      <c r="K3" s="7" t="s">
        <v>98</v>
      </c>
      <c r="L3" s="8">
        <f>COUNTA(B2:B51)</f>
        <v>50</v>
      </c>
      <c r="M3" s="8" t="s">
        <v>99</v>
      </c>
    </row>
    <row r="4" customHeight="1" spans="1:11">
      <c r="A4" s="2">
        <v>1003</v>
      </c>
      <c r="B4" s="3" t="s">
        <v>100</v>
      </c>
      <c r="C4" s="3" t="s">
        <v>101</v>
      </c>
      <c r="D4" s="3" t="s">
        <v>79</v>
      </c>
      <c r="E4" s="2">
        <v>15</v>
      </c>
      <c r="F4" s="2">
        <v>25</v>
      </c>
      <c r="G4" s="4">
        <v>45298</v>
      </c>
      <c r="H4">
        <f t="shared" si="0"/>
        <v>375</v>
      </c>
      <c r="K4" s="8" t="s">
        <v>102</v>
      </c>
    </row>
    <row r="5" customHeight="1" spans="1:8">
      <c r="A5" s="2">
        <v>1004</v>
      </c>
      <c r="B5" s="3" t="s">
        <v>103</v>
      </c>
      <c r="C5" s="3" t="s">
        <v>104</v>
      </c>
      <c r="D5" s="3" t="s">
        <v>80</v>
      </c>
      <c r="E5" s="2">
        <v>5</v>
      </c>
      <c r="F5" s="2">
        <v>50</v>
      </c>
      <c r="G5" s="4">
        <v>45299</v>
      </c>
      <c r="H5">
        <f t="shared" si="0"/>
        <v>250</v>
      </c>
    </row>
    <row r="6" customHeight="1" spans="1:15">
      <c r="A6" s="2">
        <v>1005</v>
      </c>
      <c r="B6" s="3" t="s">
        <v>105</v>
      </c>
      <c r="C6" s="3" t="s">
        <v>92</v>
      </c>
      <c r="D6" s="3" t="s">
        <v>82</v>
      </c>
      <c r="E6" s="2">
        <v>30</v>
      </c>
      <c r="F6" s="2">
        <v>5</v>
      </c>
      <c r="G6" s="4">
        <v>45301</v>
      </c>
      <c r="H6">
        <f t="shared" si="0"/>
        <v>150</v>
      </c>
      <c r="J6" s="8" t="s">
        <v>106</v>
      </c>
      <c r="K6" s="8" t="s">
        <v>107</v>
      </c>
      <c r="L6" s="9"/>
      <c r="M6" s="9"/>
      <c r="N6" s="9"/>
      <c r="O6" s="9"/>
    </row>
    <row r="7" customHeight="1" spans="1:14">
      <c r="A7" s="2">
        <v>1006</v>
      </c>
      <c r="B7" s="3" t="s">
        <v>108</v>
      </c>
      <c r="C7" s="3" t="s">
        <v>96</v>
      </c>
      <c r="D7" s="3" t="s">
        <v>80</v>
      </c>
      <c r="E7" s="2">
        <v>12</v>
      </c>
      <c r="F7" s="2">
        <v>50</v>
      </c>
      <c r="G7" s="4">
        <v>45302</v>
      </c>
      <c r="H7">
        <f t="shared" si="0"/>
        <v>600</v>
      </c>
      <c r="J7" s="8" t="s">
        <v>109</v>
      </c>
      <c r="K7" s="8" t="s">
        <v>110</v>
      </c>
      <c r="L7" s="8">
        <f>SUMPRODUCT(E2:E51,F2:F51)</f>
        <v>16543</v>
      </c>
      <c r="M7" s="8" t="s">
        <v>111</v>
      </c>
      <c r="N7" s="8"/>
    </row>
    <row r="8" customHeight="1" spans="1:14">
      <c r="A8" s="2">
        <v>1007</v>
      </c>
      <c r="B8" s="3" t="s">
        <v>112</v>
      </c>
      <c r="C8" s="3" t="s">
        <v>101</v>
      </c>
      <c r="D8" s="3" t="s">
        <v>78</v>
      </c>
      <c r="E8" s="2">
        <v>25</v>
      </c>
      <c r="F8" s="2">
        <v>8</v>
      </c>
      <c r="G8" s="4">
        <v>45304</v>
      </c>
      <c r="H8">
        <f t="shared" si="0"/>
        <v>200</v>
      </c>
      <c r="K8" s="8" t="s">
        <v>113</v>
      </c>
      <c r="L8" s="8"/>
      <c r="M8" s="8"/>
      <c r="N8" s="8"/>
    </row>
    <row r="9" customHeight="1" spans="1:8">
      <c r="A9" s="2">
        <v>1008</v>
      </c>
      <c r="B9" s="3" t="s">
        <v>114</v>
      </c>
      <c r="C9" s="3" t="s">
        <v>104</v>
      </c>
      <c r="D9" s="3" t="s">
        <v>81</v>
      </c>
      <c r="E9" s="2">
        <v>18</v>
      </c>
      <c r="F9" s="2">
        <v>10</v>
      </c>
      <c r="G9" s="4">
        <v>45306</v>
      </c>
      <c r="H9">
        <f t="shared" si="0"/>
        <v>180</v>
      </c>
    </row>
    <row r="10" customHeight="1" spans="1:16">
      <c r="A10" s="2">
        <v>1009</v>
      </c>
      <c r="B10" s="3" t="s">
        <v>115</v>
      </c>
      <c r="C10" s="3" t="s">
        <v>92</v>
      </c>
      <c r="D10" s="3" t="s">
        <v>79</v>
      </c>
      <c r="E10" s="2">
        <v>22</v>
      </c>
      <c r="F10" s="2">
        <v>25</v>
      </c>
      <c r="G10" s="4">
        <v>45308</v>
      </c>
      <c r="H10">
        <f t="shared" si="0"/>
        <v>550</v>
      </c>
      <c r="J10" s="8" t="s">
        <v>116</v>
      </c>
      <c r="K10" s="8" t="s">
        <v>117</v>
      </c>
      <c r="L10" s="9"/>
      <c r="M10" s="9"/>
      <c r="N10" s="9"/>
      <c r="O10" s="9"/>
      <c r="P10" s="9"/>
    </row>
    <row r="11" customHeight="1" spans="1:16">
      <c r="A11" s="2">
        <v>1010</v>
      </c>
      <c r="B11" s="3" t="s">
        <v>118</v>
      </c>
      <c r="C11" s="3" t="s">
        <v>96</v>
      </c>
      <c r="D11" s="3" t="s">
        <v>80</v>
      </c>
      <c r="E11" s="2">
        <v>8</v>
      </c>
      <c r="F11" s="2">
        <v>50</v>
      </c>
      <c r="G11" s="4">
        <v>45309</v>
      </c>
      <c r="H11">
        <f t="shared" si="0"/>
        <v>400</v>
      </c>
      <c r="J11" s="8" t="s">
        <v>97</v>
      </c>
      <c r="K11" s="9">
        <f>SUMIFS(H2:H51,C2:C51,C2,D2:D51,D2)</f>
        <v>2900</v>
      </c>
      <c r="L11" s="8" t="s">
        <v>119</v>
      </c>
      <c r="M11" s="9"/>
      <c r="N11" s="9"/>
      <c r="O11" s="9"/>
      <c r="P11" s="9"/>
    </row>
    <row r="12" customHeight="1" spans="1:11">
      <c r="A12" s="2">
        <v>1011</v>
      </c>
      <c r="B12" s="3" t="s">
        <v>120</v>
      </c>
      <c r="C12" s="3" t="s">
        <v>101</v>
      </c>
      <c r="D12" s="3" t="s">
        <v>82</v>
      </c>
      <c r="E12" s="2">
        <v>40</v>
      </c>
      <c r="F12" s="2">
        <v>5</v>
      </c>
      <c r="G12" s="4">
        <v>45310</v>
      </c>
      <c r="H12">
        <f t="shared" si="0"/>
        <v>200</v>
      </c>
      <c r="K12" s="8" t="s">
        <v>121</v>
      </c>
    </row>
    <row r="13" customHeight="1" spans="1:10">
      <c r="A13" s="2">
        <v>1012</v>
      </c>
      <c r="B13" s="3" t="s">
        <v>122</v>
      </c>
      <c r="C13" s="3" t="s">
        <v>104</v>
      </c>
      <c r="D13" s="3" t="s">
        <v>78</v>
      </c>
      <c r="E13" s="2">
        <v>35</v>
      </c>
      <c r="F13" s="2">
        <v>8</v>
      </c>
      <c r="G13" s="4">
        <v>45311</v>
      </c>
      <c r="H13">
        <f t="shared" si="0"/>
        <v>280</v>
      </c>
      <c r="J13" s="8"/>
    </row>
    <row r="14" customHeight="1" spans="1:15">
      <c r="A14" s="2">
        <v>1013</v>
      </c>
      <c r="B14" s="3" t="s">
        <v>123</v>
      </c>
      <c r="C14" s="3" t="s">
        <v>92</v>
      </c>
      <c r="D14" s="3" t="s">
        <v>80</v>
      </c>
      <c r="E14" s="2">
        <v>14</v>
      </c>
      <c r="F14" s="2">
        <v>50</v>
      </c>
      <c r="G14" s="4">
        <v>45313</v>
      </c>
      <c r="H14">
        <f t="shared" si="0"/>
        <v>700</v>
      </c>
      <c r="J14" s="8" t="s">
        <v>124</v>
      </c>
      <c r="K14" s="8" t="s">
        <v>125</v>
      </c>
      <c r="L14" s="9"/>
      <c r="M14" s="9"/>
      <c r="N14" s="9"/>
      <c r="O14" s="9"/>
    </row>
    <row r="15" customHeight="1" spans="1:8">
      <c r="A15" s="2">
        <v>1014</v>
      </c>
      <c r="B15" s="3" t="s">
        <v>126</v>
      </c>
      <c r="C15" s="3" t="s">
        <v>96</v>
      </c>
      <c r="D15" s="3" t="s">
        <v>81</v>
      </c>
      <c r="E15" s="2">
        <v>28</v>
      </c>
      <c r="F15" s="2">
        <v>10</v>
      </c>
      <c r="G15" s="4">
        <v>45314</v>
      </c>
      <c r="H15">
        <f t="shared" si="0"/>
        <v>280</v>
      </c>
    </row>
    <row r="16" customHeight="1" spans="1:13">
      <c r="A16" s="2">
        <v>1015</v>
      </c>
      <c r="B16" s="3" t="s">
        <v>127</v>
      </c>
      <c r="C16" s="3" t="s">
        <v>101</v>
      </c>
      <c r="D16" s="3" t="s">
        <v>79</v>
      </c>
      <c r="E16" s="2">
        <v>12</v>
      </c>
      <c r="F16" s="2">
        <v>25</v>
      </c>
      <c r="G16" s="4">
        <v>45315</v>
      </c>
      <c r="H16">
        <f t="shared" si="0"/>
        <v>300</v>
      </c>
      <c r="J16" s="8" t="s">
        <v>128</v>
      </c>
      <c r="K16" s="1" t="s">
        <v>76</v>
      </c>
      <c r="L16" s="8" t="s">
        <v>90</v>
      </c>
      <c r="M16" s="8"/>
    </row>
    <row r="17" customHeight="1" spans="1:12">
      <c r="A17" s="2">
        <v>1016</v>
      </c>
      <c r="B17" s="3" t="s">
        <v>129</v>
      </c>
      <c r="C17" s="3" t="s">
        <v>104</v>
      </c>
      <c r="D17" s="3" t="s">
        <v>82</v>
      </c>
      <c r="E17" s="2">
        <v>25</v>
      </c>
      <c r="F17" s="2">
        <v>5</v>
      </c>
      <c r="G17" s="4">
        <v>45317</v>
      </c>
      <c r="H17">
        <f t="shared" si="0"/>
        <v>125</v>
      </c>
      <c r="K17" s="3" t="s">
        <v>80</v>
      </c>
      <c r="L17">
        <f>SUMIF(D1:D51,D2,H1:H51)</f>
        <v>7550</v>
      </c>
    </row>
    <row r="18" customHeight="1" spans="1:12">
      <c r="A18" s="2">
        <v>1017</v>
      </c>
      <c r="B18" s="3" t="s">
        <v>130</v>
      </c>
      <c r="C18" s="3" t="s">
        <v>92</v>
      </c>
      <c r="D18" s="3" t="s">
        <v>78</v>
      </c>
      <c r="E18" s="2">
        <v>20</v>
      </c>
      <c r="F18" s="2">
        <v>8</v>
      </c>
      <c r="G18" s="4">
        <v>45319</v>
      </c>
      <c r="H18">
        <f t="shared" si="0"/>
        <v>160</v>
      </c>
      <c r="K18" s="3" t="s">
        <v>81</v>
      </c>
      <c r="L18">
        <f>SUMIF(D1:D51,D3,H1:H51)</f>
        <v>2180</v>
      </c>
    </row>
    <row r="19" customHeight="1" spans="1:12">
      <c r="A19" s="2">
        <v>1018</v>
      </c>
      <c r="B19" s="3" t="s">
        <v>131</v>
      </c>
      <c r="C19" s="3" t="s">
        <v>96</v>
      </c>
      <c r="D19" s="3" t="s">
        <v>80</v>
      </c>
      <c r="E19" s="2">
        <v>10</v>
      </c>
      <c r="F19" s="2">
        <v>50</v>
      </c>
      <c r="G19" s="4">
        <v>45320</v>
      </c>
      <c r="H19">
        <f t="shared" si="0"/>
        <v>500</v>
      </c>
      <c r="K19" s="3" t="s">
        <v>79</v>
      </c>
      <c r="L19">
        <f ca="1">SUMIF(D1:D51,D4,H1:H50)</f>
        <v>3650</v>
      </c>
    </row>
    <row r="20" customHeight="1" spans="1:12">
      <c r="A20" s="2">
        <v>1019</v>
      </c>
      <c r="B20" s="3" t="s">
        <v>132</v>
      </c>
      <c r="C20" s="3" t="s">
        <v>101</v>
      </c>
      <c r="D20" s="3" t="s">
        <v>81</v>
      </c>
      <c r="E20" s="2">
        <v>15</v>
      </c>
      <c r="F20" s="2">
        <v>10</v>
      </c>
      <c r="G20" s="4">
        <v>45321</v>
      </c>
      <c r="H20">
        <f t="shared" si="0"/>
        <v>150</v>
      </c>
      <c r="K20" s="3" t="s">
        <v>82</v>
      </c>
      <c r="L20">
        <f>SUMIF(D1:D51,D6,H1:H51)</f>
        <v>1235</v>
      </c>
    </row>
    <row r="21" customHeight="1" spans="1:12">
      <c r="A21" s="2">
        <v>1020</v>
      </c>
      <c r="B21" s="3" t="s">
        <v>133</v>
      </c>
      <c r="C21" s="3" t="s">
        <v>104</v>
      </c>
      <c r="D21" s="3" t="s">
        <v>79</v>
      </c>
      <c r="E21" s="2">
        <v>18</v>
      </c>
      <c r="F21" s="2">
        <v>25</v>
      </c>
      <c r="G21" s="4">
        <v>45323</v>
      </c>
      <c r="H21">
        <f t="shared" si="0"/>
        <v>450</v>
      </c>
      <c r="K21" s="3" t="s">
        <v>78</v>
      </c>
      <c r="L21">
        <f>SUMIF(D1:D51,D8,H1:H51)</f>
        <v>1928</v>
      </c>
    </row>
    <row r="22" customHeight="1" spans="1:12">
      <c r="A22" s="2">
        <v>1021</v>
      </c>
      <c r="B22" s="3" t="s">
        <v>134</v>
      </c>
      <c r="C22" s="3" t="s">
        <v>92</v>
      </c>
      <c r="D22" s="3" t="s">
        <v>80</v>
      </c>
      <c r="E22" s="2">
        <v>9</v>
      </c>
      <c r="F22" s="2">
        <v>50</v>
      </c>
      <c r="G22" s="4">
        <v>45324</v>
      </c>
      <c r="H22">
        <f t="shared" si="0"/>
        <v>450</v>
      </c>
      <c r="K22" t="s">
        <v>83</v>
      </c>
      <c r="L22" s="10">
        <f ca="1">SUM(L17:L21)</f>
        <v>16543</v>
      </c>
    </row>
    <row r="23" customHeight="1" spans="1:8">
      <c r="A23" s="2">
        <v>1022</v>
      </c>
      <c r="B23" s="3" t="s">
        <v>135</v>
      </c>
      <c r="C23" s="3" t="s">
        <v>96</v>
      </c>
      <c r="D23" s="3" t="s">
        <v>82</v>
      </c>
      <c r="E23" s="2">
        <v>35</v>
      </c>
      <c r="F23" s="2">
        <v>5</v>
      </c>
      <c r="G23" s="4">
        <v>45325</v>
      </c>
      <c r="H23">
        <f t="shared" si="0"/>
        <v>175</v>
      </c>
    </row>
    <row r="24" customHeight="1" spans="1:8">
      <c r="A24" s="2">
        <v>1023</v>
      </c>
      <c r="B24" s="3" t="s">
        <v>136</v>
      </c>
      <c r="C24" s="3" t="s">
        <v>101</v>
      </c>
      <c r="D24" s="3" t="s">
        <v>78</v>
      </c>
      <c r="E24" s="2">
        <v>30</v>
      </c>
      <c r="F24" s="2">
        <v>8</v>
      </c>
      <c r="G24" s="4">
        <v>45326</v>
      </c>
      <c r="H24">
        <f t="shared" si="0"/>
        <v>240</v>
      </c>
    </row>
    <row r="25" customHeight="1" spans="1:8">
      <c r="A25" s="2">
        <v>1024</v>
      </c>
      <c r="B25" s="3" t="s">
        <v>137</v>
      </c>
      <c r="C25" s="3" t="s">
        <v>104</v>
      </c>
      <c r="D25" s="3" t="s">
        <v>80</v>
      </c>
      <c r="E25" s="2">
        <v>11</v>
      </c>
      <c r="F25" s="2">
        <v>50</v>
      </c>
      <c r="G25" s="4">
        <v>45328</v>
      </c>
      <c r="H25">
        <f t="shared" si="0"/>
        <v>550</v>
      </c>
    </row>
    <row r="26" customHeight="1" spans="1:8">
      <c r="A26" s="2">
        <v>1025</v>
      </c>
      <c r="B26" s="3" t="s">
        <v>138</v>
      </c>
      <c r="C26" s="3" t="s">
        <v>92</v>
      </c>
      <c r="D26" s="3" t="s">
        <v>81</v>
      </c>
      <c r="E26" s="2">
        <v>14</v>
      </c>
      <c r="F26" s="2">
        <v>10</v>
      </c>
      <c r="G26" s="4">
        <v>45329</v>
      </c>
      <c r="H26">
        <f t="shared" si="0"/>
        <v>140</v>
      </c>
    </row>
    <row r="27" customHeight="1" spans="1:8">
      <c r="A27" s="2">
        <v>1026</v>
      </c>
      <c r="B27" s="3" t="s">
        <v>139</v>
      </c>
      <c r="C27" s="3" t="s">
        <v>96</v>
      </c>
      <c r="D27" s="3" t="s">
        <v>79</v>
      </c>
      <c r="E27" s="2">
        <v>16</v>
      </c>
      <c r="F27" s="2">
        <v>25</v>
      </c>
      <c r="G27" s="4">
        <v>45330</v>
      </c>
      <c r="H27">
        <f t="shared" si="0"/>
        <v>400</v>
      </c>
    </row>
    <row r="28" customHeight="1" spans="1:8">
      <c r="A28" s="2">
        <v>1027</v>
      </c>
      <c r="B28" s="3" t="s">
        <v>140</v>
      </c>
      <c r="C28" s="3" t="s">
        <v>101</v>
      </c>
      <c r="D28" s="3" t="s">
        <v>82</v>
      </c>
      <c r="E28" s="2">
        <v>22</v>
      </c>
      <c r="F28" s="2">
        <v>5</v>
      </c>
      <c r="G28" s="4">
        <v>45331</v>
      </c>
      <c r="H28">
        <f t="shared" si="0"/>
        <v>110</v>
      </c>
    </row>
    <row r="29" customHeight="1" spans="1:8">
      <c r="A29" s="2">
        <v>1028</v>
      </c>
      <c r="B29" s="3" t="s">
        <v>141</v>
      </c>
      <c r="C29" s="3" t="s">
        <v>104</v>
      </c>
      <c r="D29" s="3" t="s">
        <v>78</v>
      </c>
      <c r="E29" s="2">
        <v>27</v>
      </c>
      <c r="F29" s="2">
        <v>8</v>
      </c>
      <c r="G29" s="4">
        <v>45332</v>
      </c>
      <c r="H29">
        <f t="shared" si="0"/>
        <v>216</v>
      </c>
    </row>
    <row r="30" customHeight="1" spans="1:8">
      <c r="A30" s="2">
        <v>1029</v>
      </c>
      <c r="B30" s="3" t="s">
        <v>142</v>
      </c>
      <c r="C30" s="3" t="s">
        <v>92</v>
      </c>
      <c r="D30" s="3" t="s">
        <v>80</v>
      </c>
      <c r="E30" s="2">
        <v>13</v>
      </c>
      <c r="F30" s="2">
        <v>50</v>
      </c>
      <c r="G30" s="4">
        <v>45334</v>
      </c>
      <c r="H30">
        <f t="shared" si="0"/>
        <v>650</v>
      </c>
    </row>
    <row r="31" customHeight="1" spans="1:8">
      <c r="A31" s="2">
        <v>1030</v>
      </c>
      <c r="B31" s="3" t="s">
        <v>143</v>
      </c>
      <c r="C31" s="3" t="s">
        <v>96</v>
      </c>
      <c r="D31" s="3" t="s">
        <v>81</v>
      </c>
      <c r="E31" s="2">
        <v>32</v>
      </c>
      <c r="F31" s="2">
        <v>10</v>
      </c>
      <c r="G31" s="4">
        <v>45335</v>
      </c>
      <c r="H31">
        <f t="shared" si="0"/>
        <v>320</v>
      </c>
    </row>
    <row r="32" customHeight="1" spans="1:8">
      <c r="A32" s="2">
        <v>1031</v>
      </c>
      <c r="B32" s="3" t="s">
        <v>144</v>
      </c>
      <c r="C32" s="3" t="s">
        <v>101</v>
      </c>
      <c r="D32" s="3" t="s">
        <v>79</v>
      </c>
      <c r="E32" s="2">
        <v>10</v>
      </c>
      <c r="F32" s="2">
        <v>25</v>
      </c>
      <c r="G32" s="4">
        <v>45336</v>
      </c>
      <c r="H32">
        <f t="shared" si="0"/>
        <v>250</v>
      </c>
    </row>
    <row r="33" customHeight="1" spans="1:8">
      <c r="A33" s="2">
        <v>1032</v>
      </c>
      <c r="B33" s="3" t="s">
        <v>145</v>
      </c>
      <c r="C33" s="3" t="s">
        <v>104</v>
      </c>
      <c r="D33" s="3" t="s">
        <v>82</v>
      </c>
      <c r="E33" s="2">
        <v>18</v>
      </c>
      <c r="F33" s="2">
        <v>5</v>
      </c>
      <c r="G33" s="4">
        <v>45338</v>
      </c>
      <c r="H33">
        <f t="shared" si="0"/>
        <v>90</v>
      </c>
    </row>
    <row r="34" customHeight="1" spans="1:8">
      <c r="A34" s="2">
        <v>1033</v>
      </c>
      <c r="B34" s="3" t="s">
        <v>146</v>
      </c>
      <c r="C34" s="3" t="s">
        <v>92</v>
      </c>
      <c r="D34" s="3" t="s">
        <v>78</v>
      </c>
      <c r="E34" s="2">
        <v>22</v>
      </c>
      <c r="F34" s="2">
        <v>8</v>
      </c>
      <c r="G34" s="4">
        <v>45339</v>
      </c>
      <c r="H34">
        <f t="shared" si="0"/>
        <v>176</v>
      </c>
    </row>
    <row r="35" customHeight="1" spans="1:8">
      <c r="A35" s="2">
        <v>1034</v>
      </c>
      <c r="B35" s="3" t="s">
        <v>147</v>
      </c>
      <c r="C35" s="3" t="s">
        <v>96</v>
      </c>
      <c r="D35" s="3" t="s">
        <v>80</v>
      </c>
      <c r="E35" s="2">
        <v>17</v>
      </c>
      <c r="F35" s="2">
        <v>50</v>
      </c>
      <c r="G35" s="4">
        <v>45340</v>
      </c>
      <c r="H35">
        <f t="shared" si="0"/>
        <v>850</v>
      </c>
    </row>
    <row r="36" customHeight="1" spans="1:14">
      <c r="A36" s="2">
        <v>1035</v>
      </c>
      <c r="B36" s="3" t="s">
        <v>148</v>
      </c>
      <c r="C36" s="3" t="s">
        <v>101</v>
      </c>
      <c r="D36" s="3" t="s">
        <v>81</v>
      </c>
      <c r="E36" s="2">
        <v>19</v>
      </c>
      <c r="F36" s="2">
        <v>10</v>
      </c>
      <c r="G36" s="4">
        <v>45341</v>
      </c>
      <c r="H36">
        <f t="shared" si="0"/>
        <v>190</v>
      </c>
      <c r="J36" s="8" t="s">
        <v>149</v>
      </c>
      <c r="K36" s="8" t="s">
        <v>150</v>
      </c>
      <c r="L36" s="9"/>
      <c r="M36" s="9"/>
      <c r="N36" s="9"/>
    </row>
    <row r="37" customHeight="1" spans="1:8">
      <c r="A37" s="2">
        <v>1036</v>
      </c>
      <c r="B37" s="3" t="s">
        <v>151</v>
      </c>
      <c r="C37" s="3" t="s">
        <v>104</v>
      </c>
      <c r="D37" s="3" t="s">
        <v>79</v>
      </c>
      <c r="E37" s="2">
        <v>15</v>
      </c>
      <c r="F37" s="2">
        <v>25</v>
      </c>
      <c r="G37" s="4">
        <v>45343</v>
      </c>
      <c r="H37">
        <f t="shared" si="0"/>
        <v>375</v>
      </c>
    </row>
    <row r="38" customHeight="1" spans="1:10">
      <c r="A38" s="2">
        <v>1037</v>
      </c>
      <c r="B38" s="3" t="s">
        <v>152</v>
      </c>
      <c r="C38" s="3" t="s">
        <v>92</v>
      </c>
      <c r="D38" s="3" t="s">
        <v>82</v>
      </c>
      <c r="E38" s="2">
        <v>28</v>
      </c>
      <c r="F38" s="2">
        <v>5</v>
      </c>
      <c r="G38" s="4">
        <v>45344</v>
      </c>
      <c r="H38">
        <f t="shared" si="0"/>
        <v>140</v>
      </c>
      <c r="J38" s="8" t="s">
        <v>109</v>
      </c>
    </row>
    <row r="39" customHeight="1" spans="1:8">
      <c r="A39" s="2">
        <v>1038</v>
      </c>
      <c r="B39" s="3" t="s">
        <v>153</v>
      </c>
      <c r="C39" s="3" t="s">
        <v>96</v>
      </c>
      <c r="D39" s="3" t="s">
        <v>78</v>
      </c>
      <c r="E39" s="2">
        <v>24</v>
      </c>
      <c r="F39" s="2">
        <v>8</v>
      </c>
      <c r="G39" s="4">
        <v>45345</v>
      </c>
      <c r="H39">
        <f t="shared" si="0"/>
        <v>192</v>
      </c>
    </row>
    <row r="40" customHeight="1" spans="1:8">
      <c r="A40" s="2">
        <v>1039</v>
      </c>
      <c r="B40" s="3" t="s">
        <v>154</v>
      </c>
      <c r="C40" s="3" t="s">
        <v>101</v>
      </c>
      <c r="D40" s="3" t="s">
        <v>80</v>
      </c>
      <c r="E40" s="2">
        <v>16</v>
      </c>
      <c r="F40" s="2">
        <v>50</v>
      </c>
      <c r="G40" s="4">
        <v>45347</v>
      </c>
      <c r="H40">
        <f t="shared" si="0"/>
        <v>800</v>
      </c>
    </row>
    <row r="41" customHeight="1" spans="1:8">
      <c r="A41" s="2">
        <v>1040</v>
      </c>
      <c r="B41" s="3" t="s">
        <v>155</v>
      </c>
      <c r="C41" s="3" t="s">
        <v>104</v>
      </c>
      <c r="D41" s="3" t="s">
        <v>81</v>
      </c>
      <c r="E41" s="2">
        <v>27</v>
      </c>
      <c r="F41" s="2">
        <v>10</v>
      </c>
      <c r="G41" s="4">
        <v>45348</v>
      </c>
      <c r="H41">
        <f t="shared" si="0"/>
        <v>270</v>
      </c>
    </row>
    <row r="42" customHeight="1" spans="1:8">
      <c r="A42" s="2">
        <v>1041</v>
      </c>
      <c r="B42" s="3" t="s">
        <v>156</v>
      </c>
      <c r="C42" s="3" t="s">
        <v>92</v>
      </c>
      <c r="D42" s="3" t="s">
        <v>79</v>
      </c>
      <c r="E42" s="2">
        <v>21</v>
      </c>
      <c r="F42" s="2">
        <v>25</v>
      </c>
      <c r="G42" s="4">
        <v>45349</v>
      </c>
      <c r="H42">
        <f t="shared" si="0"/>
        <v>525</v>
      </c>
    </row>
    <row r="43" customHeight="1" spans="1:8">
      <c r="A43" s="2">
        <v>1042</v>
      </c>
      <c r="B43" s="3" t="s">
        <v>157</v>
      </c>
      <c r="C43" s="3" t="s">
        <v>96</v>
      </c>
      <c r="D43" s="3" t="s">
        <v>82</v>
      </c>
      <c r="E43" s="2">
        <v>30</v>
      </c>
      <c r="F43" s="2">
        <v>5</v>
      </c>
      <c r="G43" s="4">
        <v>45350</v>
      </c>
      <c r="H43">
        <f t="shared" si="0"/>
        <v>150</v>
      </c>
    </row>
    <row r="44" customHeight="1" spans="1:8">
      <c r="A44" s="2">
        <v>1043</v>
      </c>
      <c r="B44" s="3" t="s">
        <v>158</v>
      </c>
      <c r="C44" s="3" t="s">
        <v>101</v>
      </c>
      <c r="D44" s="3" t="s">
        <v>78</v>
      </c>
      <c r="E44" s="2">
        <v>26</v>
      </c>
      <c r="F44" s="2">
        <v>8</v>
      </c>
      <c r="G44" s="4">
        <v>45352</v>
      </c>
      <c r="H44">
        <f t="shared" si="0"/>
        <v>208</v>
      </c>
    </row>
    <row r="45" customHeight="1" spans="1:8">
      <c r="A45" s="2">
        <v>1044</v>
      </c>
      <c r="B45" s="3" t="s">
        <v>159</v>
      </c>
      <c r="C45" s="3" t="s">
        <v>104</v>
      </c>
      <c r="D45" s="3" t="s">
        <v>80</v>
      </c>
      <c r="E45" s="2">
        <v>14</v>
      </c>
      <c r="F45" s="2">
        <v>50</v>
      </c>
      <c r="G45" s="4">
        <v>45353</v>
      </c>
      <c r="H45">
        <f t="shared" si="0"/>
        <v>700</v>
      </c>
    </row>
    <row r="46" customHeight="1" spans="1:8">
      <c r="A46" s="2">
        <v>1045</v>
      </c>
      <c r="B46" s="3" t="s">
        <v>160</v>
      </c>
      <c r="C46" s="3" t="s">
        <v>92</v>
      </c>
      <c r="D46" s="3" t="s">
        <v>81</v>
      </c>
      <c r="E46" s="2">
        <v>20</v>
      </c>
      <c r="F46" s="2">
        <v>10</v>
      </c>
      <c r="G46" s="4">
        <v>45354</v>
      </c>
      <c r="H46">
        <f t="shared" si="0"/>
        <v>200</v>
      </c>
    </row>
    <row r="47" customHeight="1" spans="1:8">
      <c r="A47" s="2">
        <v>1046</v>
      </c>
      <c r="B47" s="3" t="s">
        <v>161</v>
      </c>
      <c r="C47" s="3" t="s">
        <v>96</v>
      </c>
      <c r="D47" s="3" t="s">
        <v>79</v>
      </c>
      <c r="E47" s="2">
        <v>17</v>
      </c>
      <c r="F47" s="2">
        <v>25</v>
      </c>
      <c r="G47" s="4">
        <v>45355</v>
      </c>
      <c r="H47">
        <f t="shared" si="0"/>
        <v>425</v>
      </c>
    </row>
    <row r="48" customHeight="1" spans="1:8">
      <c r="A48" s="2">
        <v>1047</v>
      </c>
      <c r="B48" s="3" t="s">
        <v>162</v>
      </c>
      <c r="C48" s="3" t="s">
        <v>101</v>
      </c>
      <c r="D48" s="3" t="s">
        <v>82</v>
      </c>
      <c r="E48" s="2">
        <v>19</v>
      </c>
      <c r="F48" s="2">
        <v>5</v>
      </c>
      <c r="G48" s="4">
        <v>45356</v>
      </c>
      <c r="H48">
        <f t="shared" si="0"/>
        <v>95</v>
      </c>
    </row>
    <row r="49" customHeight="1" spans="1:8">
      <c r="A49" s="2">
        <v>1048</v>
      </c>
      <c r="B49" s="3" t="s">
        <v>163</v>
      </c>
      <c r="C49" s="3" t="s">
        <v>104</v>
      </c>
      <c r="D49" s="3" t="s">
        <v>78</v>
      </c>
      <c r="E49" s="2">
        <v>32</v>
      </c>
      <c r="F49" s="2">
        <v>8</v>
      </c>
      <c r="G49" s="4">
        <v>45357</v>
      </c>
      <c r="H49">
        <f t="shared" si="0"/>
        <v>256</v>
      </c>
    </row>
    <row r="50" customHeight="1" spans="1:8">
      <c r="A50" s="2">
        <v>1049</v>
      </c>
      <c r="B50" s="3" t="s">
        <v>164</v>
      </c>
      <c r="C50" s="3" t="s">
        <v>92</v>
      </c>
      <c r="D50" s="3" t="s">
        <v>80</v>
      </c>
      <c r="E50" s="2">
        <v>12</v>
      </c>
      <c r="F50" s="2">
        <v>50</v>
      </c>
      <c r="G50" s="4">
        <v>45358</v>
      </c>
      <c r="H50">
        <f t="shared" si="0"/>
        <v>600</v>
      </c>
    </row>
    <row r="51" customHeight="1" spans="1:8">
      <c r="A51" s="2">
        <v>1050</v>
      </c>
      <c r="B51" s="3" t="s">
        <v>165</v>
      </c>
      <c r="C51" s="3" t="s">
        <v>96</v>
      </c>
      <c r="D51" s="3" t="s">
        <v>81</v>
      </c>
      <c r="E51" s="2">
        <v>25</v>
      </c>
      <c r="F51" s="2">
        <v>10</v>
      </c>
      <c r="G51" s="4">
        <v>45359</v>
      </c>
      <c r="H51">
        <f t="shared" si="0"/>
        <v>250</v>
      </c>
    </row>
    <row r="54" customHeight="1" spans="11:13">
      <c r="K54" s="11" t="s">
        <v>84</v>
      </c>
      <c r="L54" s="11" t="s">
        <v>77</v>
      </c>
      <c r="M54" s="11"/>
    </row>
    <row r="55" customHeight="1" spans="2:13">
      <c r="B55" s="6"/>
      <c r="C55"/>
      <c r="K55" s="12">
        <v>45296</v>
      </c>
      <c r="L55" s="11">
        <v>500</v>
      </c>
      <c r="M55" s="11"/>
    </row>
    <row r="56" customHeight="1" spans="2:13">
      <c r="B56" s="6"/>
      <c r="C56"/>
      <c r="K56" s="12">
        <v>45297</v>
      </c>
      <c r="L56" s="11">
        <v>200</v>
      </c>
      <c r="M56" s="11"/>
    </row>
    <row r="57" customHeight="1" spans="2:13">
      <c r="B57" s="6"/>
      <c r="C57"/>
      <c r="K57" s="12">
        <v>45298</v>
      </c>
      <c r="L57" s="11">
        <v>375</v>
      </c>
      <c r="M57" s="11"/>
    </row>
    <row r="58" customHeight="1" spans="2:13">
      <c r="B58" s="6"/>
      <c r="C58"/>
      <c r="K58" s="12">
        <v>45299</v>
      </c>
      <c r="L58" s="11">
        <v>250</v>
      </c>
      <c r="M58" s="11"/>
    </row>
    <row r="59" customHeight="1" spans="2:13">
      <c r="B59" s="6"/>
      <c r="C59"/>
      <c r="K59" s="12">
        <v>45301</v>
      </c>
      <c r="L59" s="11">
        <v>150</v>
      </c>
      <c r="M59" s="11"/>
    </row>
    <row r="60" customHeight="1" spans="2:13">
      <c r="B60" s="6"/>
      <c r="C60"/>
      <c r="K60" s="12">
        <v>45302</v>
      </c>
      <c r="L60" s="11">
        <v>600</v>
      </c>
      <c r="M60" s="11"/>
    </row>
    <row r="61" customHeight="1" spans="2:13">
      <c r="B61" s="6"/>
      <c r="C61"/>
      <c r="K61" s="12">
        <v>45304</v>
      </c>
      <c r="L61" s="11">
        <v>200</v>
      </c>
      <c r="M61" s="11"/>
    </row>
    <row r="62" customHeight="1" spans="2:13">
      <c r="B62" s="6"/>
      <c r="C62"/>
      <c r="K62" s="12">
        <v>45306</v>
      </c>
      <c r="L62" s="11">
        <v>180</v>
      </c>
      <c r="M62" s="11"/>
    </row>
    <row r="63" customHeight="1" spans="2:13">
      <c r="B63" s="6"/>
      <c r="C63"/>
      <c r="K63" s="12">
        <v>45308</v>
      </c>
      <c r="L63" s="11">
        <v>550</v>
      </c>
      <c r="M63" s="11"/>
    </row>
    <row r="64" customHeight="1" spans="2:13">
      <c r="B64" s="6"/>
      <c r="C64"/>
      <c r="K64" s="12">
        <v>45309</v>
      </c>
      <c r="L64" s="11">
        <v>400</v>
      </c>
      <c r="M64" s="11"/>
    </row>
    <row r="65" customHeight="1" spans="2:13">
      <c r="B65" s="6"/>
      <c r="C65"/>
      <c r="K65" s="12">
        <v>45310</v>
      </c>
      <c r="L65" s="11">
        <v>200</v>
      </c>
      <c r="M65" s="11"/>
    </row>
    <row r="66" customHeight="1" spans="2:13">
      <c r="B66" s="6"/>
      <c r="C66"/>
      <c r="K66" s="12">
        <v>45311</v>
      </c>
      <c r="L66" s="11">
        <v>280</v>
      </c>
      <c r="M66" s="11"/>
    </row>
    <row r="67" customHeight="1" spans="2:13">
      <c r="B67" s="6"/>
      <c r="C67"/>
      <c r="K67" s="12">
        <v>45313</v>
      </c>
      <c r="L67" s="11">
        <v>700</v>
      </c>
      <c r="M67" s="11"/>
    </row>
    <row r="68" customHeight="1" spans="2:13">
      <c r="B68" s="6"/>
      <c r="C68"/>
      <c r="K68" s="12">
        <v>45314</v>
      </c>
      <c r="L68" s="11">
        <v>280</v>
      </c>
      <c r="M68" s="11"/>
    </row>
    <row r="69" customHeight="1" spans="2:13">
      <c r="B69" s="6"/>
      <c r="C69"/>
      <c r="K69" s="12">
        <v>45315</v>
      </c>
      <c r="L69" s="11">
        <v>300</v>
      </c>
      <c r="M69" s="11"/>
    </row>
    <row r="70" customHeight="1" spans="2:13">
      <c r="B70" s="6"/>
      <c r="C70"/>
      <c r="K70" s="12">
        <v>45317</v>
      </c>
      <c r="L70" s="11">
        <v>125</v>
      </c>
      <c r="M70" s="11"/>
    </row>
    <row r="71" customHeight="1" spans="2:13">
      <c r="B71" s="6"/>
      <c r="C71"/>
      <c r="K71" s="12">
        <v>45319</v>
      </c>
      <c r="L71" s="11">
        <v>160</v>
      </c>
      <c r="M71" s="11"/>
    </row>
    <row r="72" customHeight="1" spans="2:13">
      <c r="B72" s="6"/>
      <c r="C72"/>
      <c r="K72" s="12">
        <v>45320</v>
      </c>
      <c r="L72" s="11">
        <v>500</v>
      </c>
      <c r="M72" s="11"/>
    </row>
    <row r="73" customHeight="1" spans="2:13">
      <c r="B73" s="6"/>
      <c r="C73"/>
      <c r="K73" s="12">
        <v>45321</v>
      </c>
      <c r="L73" s="11">
        <v>150</v>
      </c>
      <c r="M73" s="11"/>
    </row>
    <row r="74" customHeight="1" spans="2:13">
      <c r="B74" s="6"/>
      <c r="C74"/>
      <c r="K74" s="12">
        <v>45323</v>
      </c>
      <c r="L74" s="11">
        <v>450</v>
      </c>
      <c r="M74" s="11"/>
    </row>
    <row r="75" customHeight="1" spans="2:13">
      <c r="B75" s="6"/>
      <c r="C75"/>
      <c r="K75" s="12">
        <v>45324</v>
      </c>
      <c r="L75" s="11">
        <v>450</v>
      </c>
      <c r="M75" s="11"/>
    </row>
    <row r="76" customHeight="1" spans="2:13">
      <c r="B76" s="6"/>
      <c r="C76"/>
      <c r="K76" s="12">
        <v>45325</v>
      </c>
      <c r="L76" s="11">
        <v>175</v>
      </c>
      <c r="M76" s="11"/>
    </row>
    <row r="77" customHeight="1" spans="2:13">
      <c r="B77" s="6"/>
      <c r="C77"/>
      <c r="K77" s="12">
        <v>45326</v>
      </c>
      <c r="L77" s="11">
        <v>240</v>
      </c>
      <c r="M77" s="11"/>
    </row>
    <row r="78" customHeight="1" spans="2:13">
      <c r="B78" s="6"/>
      <c r="C78"/>
      <c r="K78" s="12">
        <v>45328</v>
      </c>
      <c r="L78" s="11">
        <v>550</v>
      </c>
      <c r="M78" s="11"/>
    </row>
    <row r="79" customHeight="1" spans="2:13">
      <c r="B79" s="6"/>
      <c r="C79"/>
      <c r="K79" s="12">
        <v>45329</v>
      </c>
      <c r="L79" s="11">
        <v>140</v>
      </c>
      <c r="M79" s="11"/>
    </row>
    <row r="80" customHeight="1" spans="2:13">
      <c r="B80" s="6"/>
      <c r="C80"/>
      <c r="K80" s="12">
        <v>45330</v>
      </c>
      <c r="L80" s="11">
        <v>400</v>
      </c>
      <c r="M80" s="11"/>
    </row>
    <row r="81" customHeight="1" spans="2:13">
      <c r="B81" s="6"/>
      <c r="C81"/>
      <c r="K81" s="12">
        <v>45331</v>
      </c>
      <c r="L81" s="11">
        <v>110</v>
      </c>
      <c r="M81" s="11"/>
    </row>
    <row r="82" customHeight="1" spans="2:13">
      <c r="B82" s="6"/>
      <c r="C82"/>
      <c r="K82" s="12">
        <v>45332</v>
      </c>
      <c r="L82" s="11">
        <v>216</v>
      </c>
      <c r="M82" s="11"/>
    </row>
    <row r="83" customHeight="1" spans="2:13">
      <c r="B83" s="6"/>
      <c r="C83"/>
      <c r="K83" s="12">
        <v>45334</v>
      </c>
      <c r="L83" s="11">
        <v>650</v>
      </c>
      <c r="M83" s="11"/>
    </row>
    <row r="84" customHeight="1" spans="2:13">
      <c r="B84" s="6"/>
      <c r="C84"/>
      <c r="K84" s="12">
        <v>45335</v>
      </c>
      <c r="L84" s="11">
        <v>320</v>
      </c>
      <c r="M84" s="11"/>
    </row>
    <row r="85" customHeight="1" spans="2:13">
      <c r="B85" s="6"/>
      <c r="C85"/>
      <c r="K85" s="12">
        <v>45336</v>
      </c>
      <c r="L85" s="11">
        <v>250</v>
      </c>
      <c r="M85" s="11"/>
    </row>
    <row r="86" customHeight="1" spans="2:13">
      <c r="B86" s="6"/>
      <c r="C86"/>
      <c r="K86" s="12">
        <v>45338</v>
      </c>
      <c r="L86" s="11">
        <v>90</v>
      </c>
      <c r="M86" s="11"/>
    </row>
    <row r="87" customHeight="1" spans="2:13">
      <c r="B87" s="6"/>
      <c r="C87"/>
      <c r="K87" s="12">
        <v>45339</v>
      </c>
      <c r="L87" s="11">
        <v>176</v>
      </c>
      <c r="M87" s="11"/>
    </row>
    <row r="88" customHeight="1" spans="2:13">
      <c r="B88" s="6"/>
      <c r="C88"/>
      <c r="K88" s="12">
        <v>45340</v>
      </c>
      <c r="L88" s="11">
        <v>850</v>
      </c>
      <c r="M88" s="11"/>
    </row>
    <row r="89" customHeight="1" spans="2:13">
      <c r="B89" s="6"/>
      <c r="C89"/>
      <c r="K89" s="12">
        <v>45341</v>
      </c>
      <c r="L89" s="11">
        <v>190</v>
      </c>
      <c r="M89" s="11"/>
    </row>
    <row r="90" customHeight="1" spans="2:13">
      <c r="B90" s="6"/>
      <c r="C90"/>
      <c r="K90" s="12">
        <v>45343</v>
      </c>
      <c r="L90" s="11">
        <v>375</v>
      </c>
      <c r="M90" s="11"/>
    </row>
    <row r="91" customHeight="1" spans="2:13">
      <c r="B91" s="6"/>
      <c r="C91"/>
      <c r="K91" s="12">
        <v>45344</v>
      </c>
      <c r="L91" s="11">
        <v>140</v>
      </c>
      <c r="M91" s="11"/>
    </row>
    <row r="92" customHeight="1" spans="2:13">
      <c r="B92" s="6"/>
      <c r="C92"/>
      <c r="K92" s="12">
        <v>45345</v>
      </c>
      <c r="L92" s="11">
        <v>192</v>
      </c>
      <c r="M92" s="11"/>
    </row>
    <row r="93" customHeight="1" spans="2:13">
      <c r="B93" s="6"/>
      <c r="C93"/>
      <c r="K93" s="12">
        <v>45347</v>
      </c>
      <c r="L93" s="11">
        <v>800</v>
      </c>
      <c r="M93" s="11"/>
    </row>
    <row r="94" customHeight="1" spans="2:13">
      <c r="B94" s="6"/>
      <c r="C94"/>
      <c r="K94" s="12">
        <v>45348</v>
      </c>
      <c r="L94" s="11">
        <v>270</v>
      </c>
      <c r="M94" s="11"/>
    </row>
    <row r="95" customHeight="1" spans="2:13">
      <c r="B95" s="6"/>
      <c r="C95"/>
      <c r="K95" s="12">
        <v>45349</v>
      </c>
      <c r="L95" s="11">
        <v>525</v>
      </c>
      <c r="M95" s="11"/>
    </row>
    <row r="96" customHeight="1" spans="2:13">
      <c r="B96" s="6"/>
      <c r="C96"/>
      <c r="K96" s="12">
        <v>45350</v>
      </c>
      <c r="L96" s="11">
        <v>150</v>
      </c>
      <c r="M96" s="11"/>
    </row>
    <row r="97" customHeight="1" spans="2:13">
      <c r="B97" s="6"/>
      <c r="C97"/>
      <c r="K97" s="12">
        <v>45352</v>
      </c>
      <c r="L97" s="11">
        <v>208</v>
      </c>
      <c r="M97" s="11"/>
    </row>
    <row r="98" customHeight="1" spans="2:13">
      <c r="B98" s="6"/>
      <c r="C98"/>
      <c r="K98" s="12">
        <v>45353</v>
      </c>
      <c r="L98" s="11">
        <v>700</v>
      </c>
      <c r="M98" s="11"/>
    </row>
    <row r="99" customHeight="1" spans="2:13">
      <c r="B99" s="6"/>
      <c r="C99"/>
      <c r="K99" s="12">
        <v>45354</v>
      </c>
      <c r="L99" s="11">
        <v>200</v>
      </c>
      <c r="M99" s="11"/>
    </row>
    <row r="100" customHeight="1" spans="2:13">
      <c r="B100" s="6"/>
      <c r="C100"/>
      <c r="K100" s="12">
        <v>45355</v>
      </c>
      <c r="L100" s="11">
        <v>425</v>
      </c>
      <c r="M100" s="11"/>
    </row>
    <row r="101" customHeight="1" spans="2:13">
      <c r="B101" s="6"/>
      <c r="C101"/>
      <c r="K101" s="12">
        <v>45356</v>
      </c>
      <c r="L101" s="11">
        <v>95</v>
      </c>
      <c r="M101" s="11"/>
    </row>
    <row r="102" customHeight="1" spans="2:13">
      <c r="B102" s="6"/>
      <c r="C102"/>
      <c r="K102" s="12">
        <v>45357</v>
      </c>
      <c r="L102" s="11">
        <v>256</v>
      </c>
      <c r="M102" s="11"/>
    </row>
    <row r="103" customHeight="1" spans="2:13">
      <c r="B103" s="6"/>
      <c r="C103"/>
      <c r="K103" s="12">
        <v>45358</v>
      </c>
      <c r="L103" s="11">
        <v>600</v>
      </c>
      <c r="M103" s="11"/>
    </row>
    <row r="104" customHeight="1" spans="2:13">
      <c r="B104" s="6"/>
      <c r="C104"/>
      <c r="K104" s="12">
        <v>45359</v>
      </c>
      <c r="L104" s="11">
        <v>250</v>
      </c>
      <c r="M104" s="11"/>
    </row>
    <row r="105" customHeight="1" spans="11:13">
      <c r="K105" s="11" t="s">
        <v>83</v>
      </c>
      <c r="L105" s="11">
        <v>16543</v>
      </c>
      <c r="M105" s="11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A4" sqref="A4"/>
    </sheetView>
  </sheetViews>
  <sheetFormatPr defaultColWidth="9" defaultRowHeight="15"/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topLeftCell="A4" workbookViewId="0">
      <selection activeCell="J6" sqref="J6"/>
    </sheetView>
  </sheetViews>
  <sheetFormatPr defaultColWidth="9" defaultRowHeight="15"/>
  <cols>
    <col min="1" max="1" width="12.2857142857143" customWidth="1"/>
    <col min="6" max="6" width="10.7142857142857" customWidth="1"/>
    <col min="7" max="7" width="12.2857142857143" customWidth="1"/>
  </cols>
  <sheetData>
    <row r="1" ht="18.75" customHeight="1" spans="1:7">
      <c r="A1" s="1"/>
      <c r="B1" s="1"/>
      <c r="C1" s="1"/>
      <c r="D1" s="1"/>
      <c r="E1" s="1"/>
      <c r="F1" s="1"/>
      <c r="G1" s="1"/>
    </row>
    <row r="2" customHeight="1" spans="1:15">
      <c r="A2" s="2"/>
      <c r="B2" s="3"/>
      <c r="C2" s="3"/>
      <c r="D2" s="3"/>
      <c r="E2" s="2"/>
      <c r="F2" s="2"/>
      <c r="G2" s="4"/>
      <c r="I2" s="1"/>
      <c r="J2" s="5"/>
      <c r="K2" s="1"/>
      <c r="L2" s="1"/>
      <c r="N2" s="1"/>
      <c r="O2" s="1"/>
    </row>
    <row r="3" ht="15.75" spans="1:15">
      <c r="A3" s="2"/>
      <c r="B3" s="3"/>
      <c r="C3" s="3"/>
      <c r="D3" s="3"/>
      <c r="E3" s="2"/>
      <c r="F3" s="2"/>
      <c r="G3" s="4"/>
      <c r="I3" s="2"/>
      <c r="K3" s="3"/>
      <c r="L3" s="3"/>
      <c r="M3" s="2"/>
      <c r="N3" s="2"/>
      <c r="O3" s="4"/>
    </row>
    <row r="4" ht="15.75" spans="1:15">
      <c r="A4" s="2"/>
      <c r="B4" s="3"/>
      <c r="C4" s="3"/>
      <c r="D4" s="3"/>
      <c r="E4" s="2"/>
      <c r="F4" s="2"/>
      <c r="G4" s="4"/>
      <c r="I4" s="2"/>
      <c r="K4" s="3"/>
      <c r="L4" s="3"/>
      <c r="M4" s="2"/>
      <c r="N4" s="2"/>
      <c r="O4" s="4"/>
    </row>
    <row r="5" ht="15.75" spans="1:15">
      <c r="A5" s="2"/>
      <c r="B5" s="3"/>
      <c r="C5" s="3"/>
      <c r="D5" s="3"/>
      <c r="E5" s="2"/>
      <c r="F5" s="2"/>
      <c r="G5" s="4"/>
      <c r="I5" s="2"/>
      <c r="K5" s="3"/>
      <c r="L5" s="3"/>
      <c r="M5" s="2"/>
      <c r="N5" s="2"/>
      <c r="O5" s="4"/>
    </row>
    <row r="6" ht="15.75" spans="1:15">
      <c r="A6" s="2"/>
      <c r="B6" s="3"/>
      <c r="C6" s="3"/>
      <c r="D6" s="3"/>
      <c r="E6" s="2"/>
      <c r="F6" s="2"/>
      <c r="G6" s="4"/>
      <c r="I6" s="2"/>
      <c r="K6" s="3"/>
      <c r="L6" s="3"/>
      <c r="M6" s="2"/>
      <c r="N6" s="2"/>
      <c r="O6" s="4"/>
    </row>
    <row r="7" ht="15.75" spans="1:15">
      <c r="A7" s="2"/>
      <c r="B7" s="3"/>
      <c r="C7" s="3"/>
      <c r="D7" s="3"/>
      <c r="E7" s="2"/>
      <c r="F7" s="2"/>
      <c r="G7" s="4"/>
      <c r="I7" s="2"/>
      <c r="K7" s="3"/>
      <c r="L7" s="3"/>
      <c r="M7" s="2"/>
      <c r="N7" s="2"/>
      <c r="O7" s="4"/>
    </row>
    <row r="8" ht="15.75" spans="1:15">
      <c r="A8" s="2"/>
      <c r="B8" s="3"/>
      <c r="C8" s="3"/>
      <c r="D8" s="3"/>
      <c r="E8" s="2"/>
      <c r="F8" s="2"/>
      <c r="G8" s="4"/>
      <c r="I8" s="2"/>
      <c r="K8" s="3"/>
      <c r="L8" s="3"/>
      <c r="M8" s="2"/>
      <c r="N8" s="2"/>
      <c r="O8" s="4"/>
    </row>
    <row r="9" ht="15.75" spans="1:15">
      <c r="A9" s="2"/>
      <c r="B9" s="3"/>
      <c r="C9" s="3"/>
      <c r="D9" s="3"/>
      <c r="E9" s="2"/>
      <c r="F9" s="2"/>
      <c r="G9" s="4"/>
      <c r="I9" s="2"/>
      <c r="K9" s="3"/>
      <c r="L9" s="3"/>
      <c r="M9" s="2"/>
      <c r="N9" s="2"/>
      <c r="O9" s="4"/>
    </row>
    <row r="10" ht="15.75" spans="1:15">
      <c r="A10" s="2"/>
      <c r="B10" s="3"/>
      <c r="C10" s="3"/>
      <c r="D10" s="3"/>
      <c r="E10" s="2"/>
      <c r="F10" s="2"/>
      <c r="G10" s="4"/>
      <c r="I10" s="2"/>
      <c r="K10" s="3"/>
      <c r="L10" s="3"/>
      <c r="M10" s="2"/>
      <c r="N10" s="2"/>
      <c r="O10" s="4"/>
    </row>
    <row r="11" ht="15.75" spans="1:15">
      <c r="A11" s="2"/>
      <c r="B11" s="3"/>
      <c r="C11" s="3"/>
      <c r="D11" s="3"/>
      <c r="E11" s="2"/>
      <c r="F11" s="2"/>
      <c r="G11" s="4"/>
      <c r="I11" s="2"/>
      <c r="K11" s="3"/>
      <c r="L11" s="3"/>
      <c r="M11" s="2"/>
      <c r="N11" s="2"/>
      <c r="O11" s="4"/>
    </row>
    <row r="12" ht="15.75" spans="1:15">
      <c r="A12" s="2"/>
      <c r="B12" s="3"/>
      <c r="C12" s="3"/>
      <c r="D12" s="3"/>
      <c r="E12" s="2"/>
      <c r="F12" s="2"/>
      <c r="G12" s="4"/>
      <c r="I12" s="2"/>
      <c r="K12" s="3"/>
      <c r="L12" s="3"/>
      <c r="M12" s="2"/>
      <c r="N12" s="2"/>
      <c r="O12" s="4"/>
    </row>
    <row r="13" ht="15.75" spans="1:15">
      <c r="A13" s="2"/>
      <c r="B13" s="3"/>
      <c r="C13" s="3"/>
      <c r="D13" s="3"/>
      <c r="E13" s="2"/>
      <c r="F13" s="2"/>
      <c r="G13" s="4"/>
      <c r="I13" s="2"/>
      <c r="K13" s="3"/>
      <c r="L13" s="3"/>
      <c r="M13" s="2"/>
      <c r="N13" s="2"/>
      <c r="O13" s="4"/>
    </row>
    <row r="14" ht="15.75" spans="1:15">
      <c r="A14" s="2"/>
      <c r="B14" s="3"/>
      <c r="C14" s="3"/>
      <c r="D14" s="3"/>
      <c r="E14" s="2"/>
      <c r="F14" s="2"/>
      <c r="G14" s="4"/>
      <c r="I14" s="2"/>
      <c r="K14" s="3"/>
      <c r="L14" s="3"/>
      <c r="M14" s="2"/>
      <c r="N14" s="2"/>
      <c r="O14" s="4"/>
    </row>
    <row r="15" ht="15.75" spans="1:15">
      <c r="A15" s="2"/>
      <c r="B15" s="3"/>
      <c r="C15" s="3"/>
      <c r="D15" s="3"/>
      <c r="E15" s="2"/>
      <c r="F15" s="2"/>
      <c r="G15" s="4"/>
      <c r="I15" s="2"/>
      <c r="K15" s="3"/>
      <c r="L15" s="3"/>
      <c r="M15" s="2"/>
      <c r="N15" s="2"/>
      <c r="O15" s="4"/>
    </row>
    <row r="16" ht="15.75" spans="1:15">
      <c r="A16" s="2"/>
      <c r="B16" s="3"/>
      <c r="C16" s="3"/>
      <c r="D16" s="3"/>
      <c r="E16" s="2"/>
      <c r="F16" s="2"/>
      <c r="G16" s="4"/>
      <c r="I16" s="2"/>
      <c r="K16" s="3"/>
      <c r="L16" s="3"/>
      <c r="M16" s="2"/>
      <c r="N16" s="2"/>
      <c r="O16" s="4"/>
    </row>
    <row r="17" ht="15.75" spans="1:15">
      <c r="A17" s="2"/>
      <c r="B17" s="3"/>
      <c r="C17" s="3"/>
      <c r="D17" s="3"/>
      <c r="E17" s="2"/>
      <c r="F17" s="2"/>
      <c r="G17" s="4"/>
      <c r="I17" s="2"/>
      <c r="K17" s="3"/>
      <c r="L17" s="3"/>
      <c r="M17" s="2"/>
      <c r="N17" s="2"/>
      <c r="O17" s="4"/>
    </row>
    <row r="18" ht="15.75" spans="1:15">
      <c r="A18" s="2"/>
      <c r="B18" s="3"/>
      <c r="C18" s="3"/>
      <c r="D18" s="3"/>
      <c r="E18" s="2"/>
      <c r="F18" s="2"/>
      <c r="G18" s="4"/>
      <c r="I18" s="2"/>
      <c r="K18" s="3"/>
      <c r="L18" s="3"/>
      <c r="M18" s="2"/>
      <c r="N18" s="2"/>
      <c r="O18" s="4"/>
    </row>
    <row r="19" ht="15.75" spans="1:15">
      <c r="A19" s="2"/>
      <c r="B19" s="3"/>
      <c r="C19" s="3"/>
      <c r="D19" s="3"/>
      <c r="E19" s="2"/>
      <c r="F19" s="2"/>
      <c r="G19" s="4"/>
      <c r="I19" s="2"/>
      <c r="K19" s="3"/>
      <c r="L19" s="3"/>
      <c r="M19" s="2"/>
      <c r="N19" s="2"/>
      <c r="O19" s="4"/>
    </row>
    <row r="20" ht="15.75" spans="1:15">
      <c r="A20" s="2"/>
      <c r="B20" s="3"/>
      <c r="C20" s="3"/>
      <c r="D20" s="3"/>
      <c r="E20" s="2"/>
      <c r="F20" s="2"/>
      <c r="G20" s="4"/>
      <c r="I20" s="2"/>
      <c r="K20" s="3"/>
      <c r="L20" s="3"/>
      <c r="M20" s="2"/>
      <c r="N20" s="2"/>
      <c r="O20" s="4"/>
    </row>
    <row r="21" ht="15.75" spans="1:15">
      <c r="A21" s="2"/>
      <c r="B21" s="3"/>
      <c r="C21" s="3"/>
      <c r="D21" s="3"/>
      <c r="E21" s="2"/>
      <c r="F21" s="2"/>
      <c r="G21" s="4"/>
      <c r="I21" s="2"/>
      <c r="K21" s="3"/>
      <c r="L21" s="3"/>
      <c r="M21" s="2"/>
      <c r="N21" s="2"/>
      <c r="O21" s="4"/>
    </row>
    <row r="22" ht="15.75" spans="1:15">
      <c r="A22" s="2"/>
      <c r="B22" s="3"/>
      <c r="C22" s="3"/>
      <c r="D22" s="3"/>
      <c r="E22" s="2"/>
      <c r="F22" s="2"/>
      <c r="G22" s="4"/>
      <c r="I22" s="2"/>
      <c r="K22" s="3"/>
      <c r="L22" s="3"/>
      <c r="M22" s="2"/>
      <c r="N22" s="2"/>
      <c r="O22" s="4"/>
    </row>
    <row r="23" ht="15.75" spans="1:15">
      <c r="A23" s="2"/>
      <c r="B23" s="3"/>
      <c r="C23" s="3"/>
      <c r="D23" s="3"/>
      <c r="E23" s="2"/>
      <c r="F23" s="2"/>
      <c r="G23" s="4"/>
      <c r="I23" s="2"/>
      <c r="K23" s="3"/>
      <c r="L23" s="3"/>
      <c r="M23" s="2"/>
      <c r="N23" s="2"/>
      <c r="O23" s="4"/>
    </row>
    <row r="24" ht="15.75" spans="1:15">
      <c r="A24" s="2"/>
      <c r="B24" s="3"/>
      <c r="C24" s="3"/>
      <c r="D24" s="3"/>
      <c r="E24" s="2"/>
      <c r="F24" s="2"/>
      <c r="G24" s="4"/>
      <c r="I24" s="2"/>
      <c r="K24" s="3"/>
      <c r="L24" s="3"/>
      <c r="M24" s="2"/>
      <c r="N24" s="2"/>
      <c r="O24" s="4"/>
    </row>
    <row r="25" ht="15.75" spans="1:15">
      <c r="A25" s="2"/>
      <c r="B25" s="3"/>
      <c r="C25" s="3"/>
      <c r="D25" s="3"/>
      <c r="E25" s="2"/>
      <c r="F25" s="2"/>
      <c r="G25" s="4"/>
      <c r="I25" s="2"/>
      <c r="K25" s="3"/>
      <c r="L25" s="3"/>
      <c r="M25" s="2"/>
      <c r="N25" s="2"/>
      <c r="O25" s="4"/>
    </row>
    <row r="26" ht="15.75" spans="1:15">
      <c r="A26" s="2"/>
      <c r="B26" s="3"/>
      <c r="C26" s="3"/>
      <c r="D26" s="3"/>
      <c r="E26" s="2"/>
      <c r="F26" s="2"/>
      <c r="G26" s="4"/>
      <c r="I26" s="2"/>
      <c r="K26" s="3"/>
      <c r="L26" s="3"/>
      <c r="M26" s="2"/>
      <c r="N26" s="2"/>
      <c r="O26" s="4"/>
    </row>
    <row r="27" ht="15.75" spans="1:15">
      <c r="A27" s="2"/>
      <c r="B27" s="3"/>
      <c r="C27" s="3"/>
      <c r="D27" s="3"/>
      <c r="E27" s="2"/>
      <c r="F27" s="2"/>
      <c r="G27" s="4"/>
      <c r="I27" s="2"/>
      <c r="K27" s="3"/>
      <c r="L27" s="3"/>
      <c r="M27" s="2"/>
      <c r="N27" s="2"/>
      <c r="O27" s="4"/>
    </row>
    <row r="28" ht="15.75" spans="1:15">
      <c r="A28" s="2"/>
      <c r="B28" s="3"/>
      <c r="C28" s="3"/>
      <c r="D28" s="3"/>
      <c r="E28" s="2"/>
      <c r="F28" s="2"/>
      <c r="G28" s="4"/>
      <c r="I28" s="2"/>
      <c r="K28" s="3"/>
      <c r="L28" s="3"/>
      <c r="M28" s="2"/>
      <c r="N28" s="2"/>
      <c r="O28" s="4"/>
    </row>
    <row r="29" ht="15.75" spans="1:15">
      <c r="A29" s="2"/>
      <c r="B29" s="3"/>
      <c r="C29" s="3"/>
      <c r="D29" s="3"/>
      <c r="E29" s="2"/>
      <c r="F29" s="2"/>
      <c r="G29" s="4"/>
      <c r="I29" s="2"/>
      <c r="K29" s="3"/>
      <c r="L29" s="3"/>
      <c r="M29" s="2"/>
      <c r="N29" s="2"/>
      <c r="O29" s="4"/>
    </row>
    <row r="30" ht="15.75" spans="1:15">
      <c r="A30" s="2"/>
      <c r="B30" s="3"/>
      <c r="C30" s="3"/>
      <c r="D30" s="3"/>
      <c r="E30" s="2"/>
      <c r="F30" s="2"/>
      <c r="G30" s="4"/>
      <c r="I30" s="2"/>
      <c r="K30" s="3"/>
      <c r="L30" s="3"/>
      <c r="M30" s="2"/>
      <c r="N30" s="2"/>
      <c r="O30" s="4"/>
    </row>
    <row r="31" ht="15.75" spans="1:15">
      <c r="A31" s="2"/>
      <c r="B31" s="3"/>
      <c r="C31" s="3"/>
      <c r="D31" s="3"/>
      <c r="E31" s="2"/>
      <c r="F31" s="2"/>
      <c r="G31" s="4"/>
      <c r="I31" s="2"/>
      <c r="K31" s="3"/>
      <c r="L31" s="3"/>
      <c r="M31" s="2"/>
      <c r="N31" s="2"/>
      <c r="O31" s="4"/>
    </row>
    <row r="32" ht="15.75" spans="1:15">
      <c r="A32" s="2"/>
      <c r="B32" s="3"/>
      <c r="C32" s="3"/>
      <c r="D32" s="3"/>
      <c r="E32" s="2"/>
      <c r="F32" s="2"/>
      <c r="G32" s="4"/>
      <c r="I32" s="2"/>
      <c r="K32" s="3"/>
      <c r="L32" s="3"/>
      <c r="M32" s="2"/>
      <c r="N32" s="2"/>
      <c r="O32" s="4"/>
    </row>
    <row r="33" ht="15.75" spans="1:15">
      <c r="A33" s="2"/>
      <c r="B33" s="3"/>
      <c r="C33" s="3"/>
      <c r="D33" s="3"/>
      <c r="E33" s="2"/>
      <c r="F33" s="2"/>
      <c r="G33" s="4"/>
      <c r="I33" s="2"/>
      <c r="K33" s="3"/>
      <c r="L33" s="3"/>
      <c r="M33" s="2"/>
      <c r="N33" s="2"/>
      <c r="O33" s="4"/>
    </row>
    <row r="34" ht="15.75" spans="1:15">
      <c r="A34" s="2"/>
      <c r="B34" s="3"/>
      <c r="C34" s="3"/>
      <c r="D34" s="3"/>
      <c r="E34" s="2"/>
      <c r="F34" s="2"/>
      <c r="G34" s="4"/>
      <c r="I34" s="2"/>
      <c r="K34" s="3"/>
      <c r="L34" s="3"/>
      <c r="M34" s="2"/>
      <c r="N34" s="2"/>
      <c r="O34" s="4"/>
    </row>
    <row r="35" ht="15.75" spans="1:15">
      <c r="A35" s="2"/>
      <c r="B35" s="3"/>
      <c r="C35" s="3"/>
      <c r="D35" s="3"/>
      <c r="E35" s="2"/>
      <c r="F35" s="2"/>
      <c r="G35" s="4"/>
      <c r="I35" s="2"/>
      <c r="K35" s="3"/>
      <c r="L35" s="3"/>
      <c r="M35" s="2"/>
      <c r="N35" s="2"/>
      <c r="O35" s="4"/>
    </row>
    <row r="36" ht="15.75" spans="1:15">
      <c r="A36" s="2"/>
      <c r="B36" s="3"/>
      <c r="C36" s="3"/>
      <c r="D36" s="3"/>
      <c r="E36" s="2"/>
      <c r="F36" s="2"/>
      <c r="G36" s="4"/>
      <c r="I36" s="2"/>
      <c r="K36" s="3"/>
      <c r="L36" s="3"/>
      <c r="M36" s="2"/>
      <c r="N36" s="2"/>
      <c r="O36" s="4"/>
    </row>
    <row r="37" ht="15.75" spans="1:15">
      <c r="A37" s="2"/>
      <c r="B37" s="3"/>
      <c r="C37" s="3"/>
      <c r="D37" s="3"/>
      <c r="E37" s="2"/>
      <c r="F37" s="2"/>
      <c r="G37" s="4"/>
      <c r="I37" s="2"/>
      <c r="K37" s="3"/>
      <c r="L37" s="3"/>
      <c r="M37" s="2"/>
      <c r="N37" s="2"/>
      <c r="O37" s="4"/>
    </row>
    <row r="38" ht="15.75" spans="1:15">
      <c r="A38" s="2"/>
      <c r="B38" s="3"/>
      <c r="C38" s="3"/>
      <c r="D38" s="3"/>
      <c r="E38" s="2"/>
      <c r="F38" s="2"/>
      <c r="G38" s="4"/>
      <c r="I38" s="2"/>
      <c r="K38" s="3"/>
      <c r="L38" s="3"/>
      <c r="M38" s="2"/>
      <c r="N38" s="2"/>
      <c r="O38" s="4"/>
    </row>
    <row r="39" ht="15.75" spans="1:15">
      <c r="A39" s="2"/>
      <c r="B39" s="3"/>
      <c r="C39" s="3"/>
      <c r="D39" s="3"/>
      <c r="E39" s="2"/>
      <c r="F39" s="2"/>
      <c r="G39" s="4"/>
      <c r="I39" s="2"/>
      <c r="K39" s="3"/>
      <c r="L39" s="3"/>
      <c r="M39" s="2"/>
      <c r="N39" s="2"/>
      <c r="O39" s="4"/>
    </row>
    <row r="40" ht="15.75" spans="1:15">
      <c r="A40" s="2"/>
      <c r="B40" s="3"/>
      <c r="C40" s="3"/>
      <c r="D40" s="3"/>
      <c r="E40" s="2"/>
      <c r="F40" s="2"/>
      <c r="G40" s="4"/>
      <c r="I40" s="2"/>
      <c r="K40" s="3"/>
      <c r="L40" s="3"/>
      <c r="M40" s="2"/>
      <c r="N40" s="2"/>
      <c r="O40" s="4"/>
    </row>
    <row r="41" ht="15.75" spans="1:15">
      <c r="A41" s="2"/>
      <c r="B41" s="3"/>
      <c r="C41" s="3"/>
      <c r="D41" s="3"/>
      <c r="E41" s="2"/>
      <c r="F41" s="2"/>
      <c r="G41" s="4"/>
      <c r="I41" s="2"/>
      <c r="K41" s="3"/>
      <c r="L41" s="3"/>
      <c r="M41" s="2"/>
      <c r="N41" s="2"/>
      <c r="O41" s="4"/>
    </row>
    <row r="42" ht="15.75" spans="1:15">
      <c r="A42" s="2"/>
      <c r="B42" s="3"/>
      <c r="C42" s="3"/>
      <c r="D42" s="3"/>
      <c r="E42" s="2"/>
      <c r="F42" s="2"/>
      <c r="G42" s="4"/>
      <c r="I42" s="2"/>
      <c r="K42" s="3"/>
      <c r="L42" s="3"/>
      <c r="M42" s="2"/>
      <c r="N42" s="2"/>
      <c r="O42" s="4"/>
    </row>
    <row r="43" ht="15.75" spans="1:15">
      <c r="A43" s="2"/>
      <c r="B43" s="3"/>
      <c r="C43" s="3"/>
      <c r="D43" s="3"/>
      <c r="E43" s="2"/>
      <c r="F43" s="2"/>
      <c r="G43" s="4"/>
      <c r="I43" s="2"/>
      <c r="K43" s="3"/>
      <c r="L43" s="3"/>
      <c r="M43" s="2"/>
      <c r="N43" s="2"/>
      <c r="O43" s="4"/>
    </row>
    <row r="44" ht="15.75" spans="1:17">
      <c r="A44" s="2"/>
      <c r="B44" s="3"/>
      <c r="C44" s="3"/>
      <c r="D44" s="3"/>
      <c r="E44" s="2"/>
      <c r="F44" s="2"/>
      <c r="G44" s="4"/>
      <c r="I44" s="2"/>
      <c r="K44" s="3"/>
      <c r="L44" s="3"/>
      <c r="M44" s="2"/>
      <c r="N44" s="2"/>
      <c r="O44" s="4"/>
      <c r="Q44">
        <f>COUNT(J3:J52)</f>
        <v>0</v>
      </c>
    </row>
    <row r="45" ht="15.75" spans="1:15">
      <c r="A45" s="2"/>
      <c r="B45" s="3"/>
      <c r="C45" s="3"/>
      <c r="D45" s="3"/>
      <c r="E45" s="2"/>
      <c r="F45" s="2"/>
      <c r="G45" s="4"/>
      <c r="I45" s="2"/>
      <c r="K45" s="3"/>
      <c r="L45" s="3"/>
      <c r="M45" s="2"/>
      <c r="N45" s="2"/>
      <c r="O45" s="4"/>
    </row>
    <row r="46" ht="15.75" spans="1:15">
      <c r="A46" s="2"/>
      <c r="B46" s="3"/>
      <c r="C46" s="3"/>
      <c r="D46" s="3"/>
      <c r="E46" s="2"/>
      <c r="F46" s="2"/>
      <c r="G46" s="4"/>
      <c r="I46" s="2"/>
      <c r="K46" s="3"/>
      <c r="L46" s="3"/>
      <c r="M46" s="2"/>
      <c r="N46" s="2"/>
      <c r="O46" s="4"/>
    </row>
    <row r="47" ht="15.75" spans="1:15">
      <c r="A47" s="2"/>
      <c r="B47" s="3"/>
      <c r="C47" s="3"/>
      <c r="D47" s="3"/>
      <c r="E47" s="2"/>
      <c r="F47" s="2"/>
      <c r="G47" s="4"/>
      <c r="I47" s="2"/>
      <c r="K47" s="3"/>
      <c r="L47" s="3"/>
      <c r="M47" s="2"/>
      <c r="N47" s="2"/>
      <c r="O47" s="4"/>
    </row>
    <row r="48" ht="15.75" spans="1:15">
      <c r="A48" s="2"/>
      <c r="B48" s="3"/>
      <c r="C48" s="3"/>
      <c r="D48" s="3"/>
      <c r="E48" s="2"/>
      <c r="F48" s="2"/>
      <c r="G48" s="4"/>
      <c r="I48" s="2"/>
      <c r="K48" s="3"/>
      <c r="L48" s="3"/>
      <c r="M48" s="2"/>
      <c r="N48" s="2"/>
      <c r="O48" s="4"/>
    </row>
    <row r="49" ht="15.75" spans="1:15">
      <c r="A49" s="2"/>
      <c r="B49" s="3"/>
      <c r="C49" s="3"/>
      <c r="D49" s="3"/>
      <c r="E49" s="2"/>
      <c r="F49" s="2"/>
      <c r="G49" s="4"/>
      <c r="I49" s="2"/>
      <c r="K49" s="3"/>
      <c r="L49" s="3"/>
      <c r="M49" s="2"/>
      <c r="N49" s="2"/>
      <c r="O49" s="4"/>
    </row>
    <row r="50" ht="15.75" spans="1:15">
      <c r="A50" s="2"/>
      <c r="B50" s="3"/>
      <c r="C50" s="3"/>
      <c r="D50" s="3"/>
      <c r="E50" s="2"/>
      <c r="F50" s="2"/>
      <c r="G50" s="4"/>
      <c r="I50" s="2"/>
      <c r="K50" s="3"/>
      <c r="L50" s="3"/>
      <c r="M50" s="2"/>
      <c r="N50" s="2"/>
      <c r="O50" s="4"/>
    </row>
    <row r="51" ht="15.75" spans="1:15">
      <c r="A51" s="2"/>
      <c r="B51" s="3"/>
      <c r="C51" s="3"/>
      <c r="D51" s="3"/>
      <c r="E51" s="2"/>
      <c r="F51" s="2"/>
      <c r="G51" s="4"/>
      <c r="I51" s="2"/>
      <c r="K51" s="3"/>
      <c r="L51" s="3"/>
      <c r="M51" s="2"/>
      <c r="N51" s="2"/>
      <c r="O51" s="4"/>
    </row>
    <row r="52" ht="15.75" spans="9:15">
      <c r="I52" s="2"/>
      <c r="K52" s="3"/>
      <c r="L52" s="3"/>
      <c r="M52" s="2"/>
      <c r="N52" s="2"/>
      <c r="O52" s="4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Sheet6</vt:lpstr>
      <vt:lpstr>Sheet7</vt:lpstr>
      <vt:lpstr>Sheet8</vt:lpstr>
      <vt:lpstr>ques 4,5,6,7,8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ojha</dc:creator>
  <cp:lastModifiedBy>ojha</cp:lastModifiedBy>
  <dcterms:created xsi:type="dcterms:W3CDTF">2025-12-03T05:18:00Z</dcterms:created>
  <cp:lastPrinted>2025-12-03T08:48:00Z</cp:lastPrinted>
  <dcterms:modified xsi:type="dcterms:W3CDTF">2025-12-04T08:24:38Z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146EB1FC275D4A4E817D23A41052AC49_13</vt:lpwstr>
  </property>
  <property fmtid="{D5CDD505-2E9C-101B-9397-08002B2CF9AE}" pid="3" name="KSOProductBuildVer">
    <vt:lpwstr>1033-12.2.0.23155</vt:lpwstr>
  </property>
</Properties>
</file>